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hak gupta\Desktop\"/>
    </mc:Choice>
  </mc:AlternateContent>
  <xr:revisionPtr revIDLastSave="0" documentId="8_{FD0FC6CC-7F6E-4132-A392-010282970E66}" xr6:coauthVersionLast="36" xr6:coauthVersionMax="36" xr10:uidLastSave="{00000000-0000-0000-0000-000000000000}"/>
  <bookViews>
    <workbookView xWindow="0" yWindow="0" windowWidth="19200" windowHeight="6810" activeTab="4" xr2:uid="{00000000-000D-0000-FFFF-FFFF00000000}"/>
  </bookViews>
  <sheets>
    <sheet name="break" sheetId="1" r:id="rId1"/>
    <sheet name="Efficiency" sheetId="3" r:id="rId2"/>
    <sheet name="overall performance" sheetId="5" r:id="rId3"/>
    <sheet name="Summary" sheetId="6" r:id="rId4"/>
    <sheet name="Dashbroad" sheetId="7" r:id="rId5"/>
  </sheets>
  <definedNames>
    <definedName name="BData">break!$A$1:$I$151</definedName>
    <definedName name="EData">Efficiency!$A:$Q</definedName>
    <definedName name="ExternalData_1" localSheetId="2" hidden="1">'overall performance'!$A$1:$J$151</definedName>
    <definedName name="Pdata">'overall performance'!$A:$J</definedName>
  </definedNames>
  <calcPr calcId="191029"/>
  <pivotCaches>
    <pivotCache cacheId="3" r:id="rId6"/>
  </pivotCaches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2" i="6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2" i="6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2" i="6"/>
  <c r="A80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5FF23D-4FFB-4206-9243-75891B768F38}" keepAlive="1" name="Query - Sheet1" description="Connection to the 'Sheet1' query in the workbook." type="5" refreshedVersion="6" background="1" saveData="1">
    <dbPr connection="Provider=Microsoft.Mashup.OleDb.1;Data Source=$Workbook$;Location=Sheet1;Extended Properties=&quot;&quot;" command="SELECT * FROM [Sheet1]"/>
  </connection>
  <connection id="2" xr16:uid="{87A54CC3-3A33-4480-A53E-11D089F4BB5E}" keepAlive="1" name="Query - Sheet1 (2)" description="Connection to the 'Sheet1 (2)' query in the workbook." type="5" refreshedVersion="6" background="1" saveData="1">
    <dbPr connection="Provider=Microsoft.Mashup.OleDb.1;Data Source=$Workbook$;Location=Sheet1 (2);Extended Properties=&quot;&quot;" command="SELECT * FROM [Sheet1 (2)]"/>
  </connection>
</connections>
</file>

<file path=xl/sharedStrings.xml><?xml version="1.0" encoding="utf-8"?>
<sst xmlns="http://schemas.openxmlformats.org/spreadsheetml/2006/main" count="1722" uniqueCount="343">
  <si>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</si>
  <si>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</si>
  <si>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</si>
  <si>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</si>
  <si>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</si>
  <si>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</si>
  <si>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</si>
  <si>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</si>
  <si>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</si>
  <si>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</si>
  <si>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00:39:00</t>
  </si>
  <si>
    <t>00:29:00</t>
  </si>
  <si>
    <t>00:00:00</t>
  </si>
  <si>
    <t>01:08:00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</si>
  <si>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</si>
  <si>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</si>
  <si>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</si>
  <si>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</si>
  <si>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</si>
  <si>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</si>
  <si>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</si>
  <si>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</si>
  <si>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</si>
  <si>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</si>
  <si>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</si>
  <si>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</si>
  <si>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</si>
  <si>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</si>
  <si>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</si>
  <si>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</si>
  <si>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</si>
  <si>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</si>
  <si>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Hyd_Atul Kumar (1008532)</t>
  </si>
  <si>
    <t>Hyd_Azam (1008533)</t>
  </si>
  <si>
    <t>Hyd_Bhagwat Singh (1008534)</t>
  </si>
  <si>
    <t>Hyd_Bindu Nair (1008535)</t>
  </si>
  <si>
    <t>Hyd_Daleep Kumar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</si>
  <si>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</si>
  <si>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</si>
  <si>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</si>
  <si>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</si>
  <si>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</si>
  <si>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</si>
  <si>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</si>
  <si>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</si>
  <si>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</si>
  <si>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</si>
  <si>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</si>
  <si>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</si>
  <si>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</si>
  <si>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</si>
  <si>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</si>
  <si>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Hyd_Lilly Lucy (1008552)</t>
  </si>
  <si>
    <t>Hyd_Mangal Singh (1008553)</t>
  </si>
  <si>
    <t>Hyd_Manisha Shrivastava (1008554)</t>
  </si>
  <si>
    <t>Hyd_Manjusha Sinha (1008555)</t>
  </si>
  <si>
    <t>Hyd_Manju Tiwari Lab (1008556)</t>
  </si>
  <si>
    <t>Hyd_Manoj Kumar (1008557)</t>
  </si>
  <si>
    <t>Hyd_Manoj Kumar (1008558)</t>
  </si>
  <si>
    <t>Hyd_Masroor Adil (1008559)</t>
  </si>
  <si>
    <t>Hyd_Meena Zinjare (1008560)</t>
  </si>
  <si>
    <t>Hyd_Mehnaz Khan (1008561)</t>
  </si>
  <si>
    <t>Hyd_Mercy Thampi (1008562)</t>
  </si>
  <si>
    <t>Hyd_Miny Mole (1008563)</t>
  </si>
  <si>
    <t>Hyd_Mohd Rafi (1008564)</t>
  </si>
  <si>
    <t>Hyd_Mubeen Khan (1008565)</t>
  </si>
  <si>
    <t>Hyd_Mukesh Nagar (1008566)</t>
  </si>
  <si>
    <t>Hyd_Nandu Kumar (1008567)</t>
  </si>
  <si>
    <t>Hyd_Narayan Singh (1008568)</t>
  </si>
  <si>
    <t>Hyd_Neeraj Saxena (1008569)</t>
  </si>
  <si>
    <t>Hyd_Neeru Mehta (1008570)</t>
  </si>
  <si>
    <t>Hyd_Nikita Panwalkar (1008571)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</si>
  <si>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</si>
  <si>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</si>
  <si>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</si>
  <si>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</si>
  <si>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</si>
  <si>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</si>
  <si>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</si>
  <si>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</si>
  <si>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</si>
  <si>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</si>
  <si>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</si>
  <si>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</si>
  <si>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</si>
  <si>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</si>
  <si>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</si>
  <si>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</si>
  <si>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</si>
  <si>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</si>
  <si>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</si>
  <si>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Del_Emp_79 (1008738)</t>
  </si>
  <si>
    <t>Del_Emp_80 (1008739)</t>
  </si>
  <si>
    <t>Del_Emp_81 (1008740)</t>
  </si>
  <si>
    <t>Del_Emp_82 (1008741)</t>
  </si>
  <si>
    <t>Del_Emp_83 (1008742)</t>
  </si>
  <si>
    <t>Del_Emp_84 (1008743)</t>
  </si>
  <si>
    <t>Del_Emp_85 (1008744)</t>
  </si>
  <si>
    <t>Del_Emp_86 (1008745)</t>
  </si>
  <si>
    <t>Del_Emp_87 (1008746)</t>
  </si>
  <si>
    <t>Del_Emp_88 (1008747)</t>
  </si>
  <si>
    <t>Del_Emp_89 (1008748)</t>
  </si>
  <si>
    <t>Del_Emp_90 (1008749)</t>
  </si>
  <si>
    <t>Del_Emp_91 (1008750)</t>
  </si>
  <si>
    <t>Del_Emp_92 (1008751)</t>
  </si>
  <si>
    <t>Del_Emp_93 (1008752)</t>
  </si>
  <si>
    <t>Del_Emp_94 (1008753)</t>
  </si>
  <si>
    <t>Del_Emp_95 (1008754)</t>
  </si>
  <si>
    <t>Del_Emp_96 (1008755)</t>
  </si>
  <si>
    <t>Del_Emp_97 (1008756)</t>
  </si>
  <si>
    <t>Del_Emp_98 (1008757)</t>
  </si>
  <si>
    <t>Del_Emp_99 (1008758)</t>
  </si>
  <si>
    <t>Del_Emp_100 (1008759)</t>
  </si>
  <si>
    <t>Del_Emp_101 (1008760)</t>
  </si>
  <si>
    <t>Del_Emp_102 (1008761)</t>
  </si>
  <si>
    <t>Del_Emp_103 (1008762)</t>
  </si>
  <si>
    <t>Del_Emp_104 (1008763)</t>
  </si>
  <si>
    <t>Del_Emp_105 (1008764)</t>
  </si>
  <si>
    <t>Del_Emp_106 (1008765)</t>
  </si>
  <si>
    <t>Del_Emp_107 (1008766)</t>
  </si>
  <si>
    <t>Del_Emp_108 (1008767)</t>
  </si>
  <si>
    <t>Del_Emp_109 (1008768)</t>
  </si>
  <si>
    <t>Del_Emp_110 (1008769)</t>
  </si>
  <si>
    <t>Del_Emp_111 (1008770)</t>
  </si>
  <si>
    <t>Del_Emp_112 (1008771)</t>
  </si>
  <si>
    <t>Del_Emp_113 (1008772)</t>
  </si>
  <si>
    <t>Del_Emp_114 (1008773)</t>
  </si>
  <si>
    <t>Del_Emp_115 (1008774)</t>
  </si>
  <si>
    <t>Del_Emp_116 (1008775)</t>
  </si>
  <si>
    <t>Del_Emp_117 (1008776)</t>
  </si>
  <si>
    <t>Del_Emp_118 (1008777)</t>
  </si>
  <si>
    <t>Del_Emp_119 (1008778)</t>
  </si>
  <si>
    <t>Del_Emp_120 (1008779)</t>
  </si>
  <si>
    <t>Del_Emp_121 (1008780)</t>
  </si>
  <si>
    <t>Del_Emp_122 (1008781)</t>
  </si>
  <si>
    <t>Del_Emp_123 (1008782)</t>
  </si>
  <si>
    <t>Del_Emp_124 (1008783)</t>
  </si>
  <si>
    <t>Del_Emp_125 (1008784)</t>
  </si>
  <si>
    <t>Del_Emp_126 (1008785)</t>
  </si>
  <si>
    <t>Del_Emp_127 (1008786)</t>
  </si>
  <si>
    <t>Del_Emp_128 (1008787)</t>
  </si>
  <si>
    <t>Del_Emp_129 (1008788)</t>
  </si>
  <si>
    <t>Del_Emp_130 (1008789)</t>
  </si>
  <si>
    <t>Del_Emp_131 (1008790)</t>
  </si>
  <si>
    <t>Del_Emp_132 (1008791)</t>
  </si>
  <si>
    <t>Del_Emp_133 (1008792)</t>
  </si>
  <si>
    <t>Del_Emp_134 (1008793)</t>
  </si>
  <si>
    <t>Del_Emp_135 (1008794)</t>
  </si>
  <si>
    <t>Del_Emp_136 (1008795)</t>
  </si>
  <si>
    <t>Del_Emp_137 (1008796)</t>
  </si>
  <si>
    <t>Del_Emp_138 (1008797)</t>
  </si>
  <si>
    <t>Del_Emp_139 (1008798)</t>
  </si>
  <si>
    <t>Del_Emp_140 (1008799)</t>
  </si>
  <si>
    <t>Del_Emp_141 (1008800)</t>
  </si>
  <si>
    <t>Del_Emp_142 (1008801)</t>
  </si>
  <si>
    <t>Del_Emp_143 (1008802)</t>
  </si>
  <si>
    <t>Del_Emp_144 (1008803)</t>
  </si>
  <si>
    <t>Del_Emp_145 (1008804)</t>
  </si>
  <si>
    <t>Del_Emp_146 (1008805)</t>
  </si>
  <si>
    <t>Del_Emp_147 (1008806)</t>
  </si>
  <si>
    <t>Del_Emp_148 (1008807)</t>
  </si>
  <si>
    <t>Del_Emp_149 (1008808)</t>
  </si>
  <si>
    <t>Del_Emp_150 (1008809)</t>
  </si>
  <si>
    <t>Total Working Hours</t>
  </si>
  <si>
    <t>Work Efficiency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</si>
  <si>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</si>
  <si>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</si>
  <si>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</si>
  <si>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</si>
  <si>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</si>
  <si>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</si>
  <si>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</si>
  <si>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</si>
  <si>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</si>
  <si>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Other Work %</t>
  </si>
  <si>
    <t>Long Time</t>
  </si>
  <si>
    <t>Short Time Holds</t>
  </si>
  <si>
    <t>Long Call Holds</t>
  </si>
  <si>
    <t>No Hold</t>
  </si>
  <si>
    <t>Hyd_Ashok Mahto (1008531)</t>
  </si>
  <si>
    <t>Emp_21</t>
  </si>
  <si>
    <t>Emp_22</t>
  </si>
  <si>
    <t>Emp_23</t>
  </si>
  <si>
    <t>Emp_24</t>
  </si>
  <si>
    <t>Emp_25</t>
  </si>
  <si>
    <t>Emp_26</t>
  </si>
  <si>
    <t>Emp_27</t>
  </si>
  <si>
    <t>Emp_28</t>
  </si>
  <si>
    <t>Emp_29</t>
  </si>
  <si>
    <t>Emp_30</t>
  </si>
  <si>
    <t>Emp_31</t>
  </si>
  <si>
    <t>Emp_32</t>
  </si>
  <si>
    <t>Emp_33</t>
  </si>
  <si>
    <t>Emp_34</t>
  </si>
  <si>
    <t>Emp_35</t>
  </si>
  <si>
    <t>Emp_36</t>
  </si>
  <si>
    <t>Emp_37</t>
  </si>
  <si>
    <t>Emp_38</t>
  </si>
  <si>
    <t>Emp_39</t>
  </si>
  <si>
    <t>Emp_40</t>
  </si>
  <si>
    <t>Emp_41</t>
  </si>
  <si>
    <t>Emp_42</t>
  </si>
  <si>
    <t>Emp_43</t>
  </si>
  <si>
    <t>Emp_44</t>
  </si>
  <si>
    <t>Emp_45</t>
  </si>
  <si>
    <t>Emp_46</t>
  </si>
  <si>
    <t>Emp_47</t>
  </si>
  <si>
    <t>Emp_48</t>
  </si>
  <si>
    <t>Emp_49</t>
  </si>
  <si>
    <t>Emp_50</t>
  </si>
  <si>
    <t>Emp_51</t>
  </si>
  <si>
    <t>Emp_52</t>
  </si>
  <si>
    <t>Emp_53</t>
  </si>
  <si>
    <t>Emp_54</t>
  </si>
  <si>
    <t>Emp_55</t>
  </si>
  <si>
    <t>Emp_56</t>
  </si>
  <si>
    <t>Emp_57</t>
  </si>
  <si>
    <t>Emp_58</t>
  </si>
  <si>
    <t>Emp_59</t>
  </si>
  <si>
    <t>Emp_60</t>
  </si>
  <si>
    <t>Emp_61</t>
  </si>
  <si>
    <t>Emp_62</t>
  </si>
  <si>
    <t>Emp_63</t>
  </si>
  <si>
    <t>Emp_64</t>
  </si>
  <si>
    <t>Emp_65</t>
  </si>
  <si>
    <t>Emp_66</t>
  </si>
  <si>
    <t>Emp_67</t>
  </si>
  <si>
    <t>Emp_68</t>
  </si>
  <si>
    <t>Emp_69</t>
  </si>
  <si>
    <t>Emp_70</t>
  </si>
  <si>
    <t>Emp_71</t>
  </si>
  <si>
    <t>Emp_72</t>
  </si>
  <si>
    <t>Emp_73</t>
  </si>
  <si>
    <t>Emp_74</t>
  </si>
  <si>
    <t>Emp_75</t>
  </si>
  <si>
    <t>Emp_76</t>
  </si>
  <si>
    <t>Emp_77</t>
  </si>
  <si>
    <t>Emp_78</t>
  </si>
  <si>
    <t>Emp_79</t>
  </si>
  <si>
    <t>Emp_80</t>
  </si>
  <si>
    <t>Emp_81</t>
  </si>
  <si>
    <t>Emp_82</t>
  </si>
  <si>
    <t>Emp_83</t>
  </si>
  <si>
    <t>Emp_84</t>
  </si>
  <si>
    <t>Emp_85</t>
  </si>
  <si>
    <t>Emp_86</t>
  </si>
  <si>
    <t>Emp_87</t>
  </si>
  <si>
    <t>Emp_88</t>
  </si>
  <si>
    <t>Emp_89</t>
  </si>
  <si>
    <t>Emp_90</t>
  </si>
  <si>
    <t>Emp_91</t>
  </si>
  <si>
    <t>Emp_92</t>
  </si>
  <si>
    <t>Emp_93</t>
  </si>
  <si>
    <t>Emp_94</t>
  </si>
  <si>
    <t>Emp_95</t>
  </si>
  <si>
    <t>Emp_96</t>
  </si>
  <si>
    <t>Emp_97</t>
  </si>
  <si>
    <t>Emp_98</t>
  </si>
  <si>
    <t>Emp_99</t>
  </si>
  <si>
    <t>Emp_100</t>
  </si>
  <si>
    <t>Emp_101</t>
  </si>
  <si>
    <t>Emp_102</t>
  </si>
  <si>
    <t>Emp_103</t>
  </si>
  <si>
    <t>Emp_104</t>
  </si>
  <si>
    <t>Emp_105</t>
  </si>
  <si>
    <t>Emp_106</t>
  </si>
  <si>
    <t>Emp_107</t>
  </si>
  <si>
    <t>Emp_108</t>
  </si>
  <si>
    <t>Emp_109</t>
  </si>
  <si>
    <t>Emp_110</t>
  </si>
  <si>
    <t>Emp_111</t>
  </si>
  <si>
    <t>Emp_112</t>
  </si>
  <si>
    <t>Emp_113</t>
  </si>
  <si>
    <t>Emp_114</t>
  </si>
  <si>
    <t>Emp_115</t>
  </si>
  <si>
    <t>Emp_116</t>
  </si>
  <si>
    <t>Emp_117</t>
  </si>
  <si>
    <t>Emp_118</t>
  </si>
  <si>
    <t>Emp_119</t>
  </si>
  <si>
    <t>Emp_120</t>
  </si>
  <si>
    <t>Emp_121</t>
  </si>
  <si>
    <t>Emp_122</t>
  </si>
  <si>
    <t>Emp_123</t>
  </si>
  <si>
    <t>Emp_124</t>
  </si>
  <si>
    <t>Emp_125</t>
  </si>
  <si>
    <t>Emp_126</t>
  </si>
  <si>
    <t>Emp_127</t>
  </si>
  <si>
    <t>Emp_128</t>
  </si>
  <si>
    <t>Emp_129</t>
  </si>
  <si>
    <t>Emp_130</t>
  </si>
  <si>
    <t>Emp_131</t>
  </si>
  <si>
    <t>Emp_132</t>
  </si>
  <si>
    <t>Emp_133</t>
  </si>
  <si>
    <t>Emp_134</t>
  </si>
  <si>
    <t>Emp_135</t>
  </si>
  <si>
    <t>Emp_136</t>
  </si>
  <si>
    <t>Emp_137</t>
  </si>
  <si>
    <t>Emp_138</t>
  </si>
  <si>
    <t>Emp_139</t>
  </si>
  <si>
    <t>Emp_140</t>
  </si>
  <si>
    <t>Emp_141</t>
  </si>
  <si>
    <t>Emp_142</t>
  </si>
  <si>
    <t>Emp_143</t>
  </si>
  <si>
    <t>Emp_144</t>
  </si>
  <si>
    <t>Emp_145</t>
  </si>
  <si>
    <t>Emp_146</t>
  </si>
  <si>
    <t>Emp_147</t>
  </si>
  <si>
    <t>Emp_148</t>
  </si>
  <si>
    <t>Emp_149</t>
  </si>
  <si>
    <t>Emp_150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</si>
  <si>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</si>
  <si>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</si>
  <si>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</si>
  <si>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</si>
  <si>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</si>
  <si>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</si>
  <si>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</si>
  <si>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</si>
  <si>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Emp Name</t>
  </si>
  <si>
    <t>total no. of working hours</t>
  </si>
  <si>
    <t>work effciency</t>
  </si>
  <si>
    <t>total break taken</t>
  </si>
  <si>
    <t>attended calls</t>
  </si>
  <si>
    <t>active with cust</t>
  </si>
  <si>
    <t>employee</t>
  </si>
  <si>
    <t>Row Labels</t>
  </si>
  <si>
    <t>Ashok Kumar</t>
  </si>
  <si>
    <t>Manoj Kumar</t>
  </si>
  <si>
    <t>Sunil Kumar</t>
  </si>
  <si>
    <t xml:space="preserve">emp total no. of working hours </t>
  </si>
  <si>
    <t>Riport 1 :  Working hours</t>
  </si>
  <si>
    <t>Anamika Gupta</t>
  </si>
  <si>
    <t>Anita Ghore</t>
  </si>
  <si>
    <t>Arun Kumar</t>
  </si>
  <si>
    <t>Ashish Kumar</t>
  </si>
  <si>
    <t>Sum of active with cust</t>
  </si>
  <si>
    <t xml:space="preserve"> REPORT2 : ATTENDED CALLS</t>
  </si>
  <si>
    <t>Anita Dixit</t>
  </si>
  <si>
    <t>Anjali Deoram</t>
  </si>
  <si>
    <t>Tasneem Khan</t>
  </si>
  <si>
    <t>percentage Active with Cust</t>
  </si>
  <si>
    <t>REPORT3 : attended calls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</si>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</sst>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Gadugi"/>
      <family val="2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333333"/>
        <bgColor rgb="FF333333"/>
      </patternFill>
    </fill>
    <fill>
      <patternFill patternType="solid">
        <fgColor rgb="FFF2F2F2"/>
        <bgColor rgb="FFF2F2F2"/>
      </patternFill>
    </fill>
    <fill>
      <patternFill patternType="solid">
        <fgColor theme="1"/>
        <bgColor theme="1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41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0" xfId="0" applyFill="1"/>
    <xf numFmtId="21" fontId="0" fillId="3" borderId="0" xfId="0" applyNumberFormat="1" applyFill="1" applyAlignment="1">
      <alignment horizontal="left"/>
    </xf>
    <xf numFmtId="22" fontId="0" fillId="0" borderId="0" xfId="0" applyNumberFormat="1"/>
    <xf numFmtId="0" fontId="2" fillId="4" borderId="0" xfId="0" applyFont="1" applyFill="1" applyBorder="1"/>
    <xf numFmtId="0" fontId="2" fillId="4" borderId="2" xfId="0" applyFont="1" applyFill="1" applyBorder="1"/>
    <xf numFmtId="0" fontId="0" fillId="5" borderId="3" xfId="0" applyFont="1" applyFill="1" applyBorder="1"/>
    <xf numFmtId="22" fontId="0" fillId="5" borderId="4" xfId="0" applyNumberFormat="1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22" fontId="0" fillId="6" borderId="6" xfId="0" applyNumberFormat="1" applyFont="1" applyFill="1" applyBorder="1"/>
    <xf numFmtId="0" fontId="0" fillId="6" borderId="6" xfId="0" applyFont="1" applyFill="1" applyBorder="1"/>
    <xf numFmtId="0" fontId="0" fillId="5" borderId="5" xfId="0" applyFont="1" applyFill="1" applyBorder="1"/>
    <xf numFmtId="22" fontId="0" fillId="5" borderId="6" xfId="0" applyNumberFormat="1" applyFont="1" applyFill="1" applyBorder="1"/>
    <xf numFmtId="0" fontId="0" fillId="5" borderId="6" xfId="0" applyFont="1" applyFill="1" applyBorder="1"/>
    <xf numFmtId="0" fontId="3" fillId="7" borderId="0" xfId="0" applyFont="1" applyFill="1"/>
    <xf numFmtId="164" fontId="3" fillId="7" borderId="0" xfId="0" applyNumberFormat="1" applyFont="1" applyFill="1"/>
    <xf numFmtId="164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65" fontId="2" fillId="4" borderId="2" xfId="0" applyNumberFormat="1" applyFont="1" applyFill="1" applyBorder="1"/>
    <xf numFmtId="18" fontId="0" fillId="5" borderId="4" xfId="0" applyNumberFormat="1" applyFont="1" applyFill="1" applyBorder="1"/>
    <xf numFmtId="18" fontId="0" fillId="6" borderId="6" xfId="0" applyNumberFormat="1" applyFont="1" applyFill="1" applyBorder="1"/>
    <xf numFmtId="18" fontId="0" fillId="5" borderId="6" xfId="0" applyNumberFormat="1" applyFont="1" applyFill="1" applyBorder="1"/>
    <xf numFmtId="0" fontId="7" fillId="10" borderId="0" xfId="0" applyFont="1" applyFill="1"/>
    <xf numFmtId="10" fontId="0" fillId="0" borderId="0" xfId="0" applyNumberFormat="1"/>
    <xf numFmtId="10" fontId="0" fillId="5" borderId="4" xfId="0" applyNumberFormat="1" applyFont="1" applyFill="1" applyBorder="1"/>
    <xf numFmtId="10" fontId="2" fillId="4" borderId="2" xfId="0" applyNumberFormat="1" applyFont="1" applyFill="1" applyBorder="1"/>
    <xf numFmtId="10" fontId="0" fillId="6" borderId="6" xfId="0" applyNumberFormat="1" applyFont="1" applyFill="1" applyBorder="1"/>
    <xf numFmtId="10" fontId="0" fillId="5" borderId="6" xfId="0" applyNumberFormat="1" applyFont="1" applyFill="1" applyBorder="1"/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7" xfId="0" applyBorder="1" applyAlignment="1"/>
    <xf numFmtId="0" fontId="7" fillId="9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6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3">
    <dxf>
      <numFmt numFmtId="27" formatCode="m/d/yyyy\ h:mm"/>
    </dxf>
    <dxf>
      <numFmt numFmtId="27" formatCode="m/d/yyyy\ h:mm"/>
    </dxf>
    <dxf>
      <numFmt numFmtId="27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theme="0" tint="-0.14999847407452621"/>
          <bgColor theme="0" tint="-0.14999847407452621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m/d/yyyy\ h:mm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3" formatCode="h:mm\ AM/PM"/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[Interactive_Dashboard.xlsm..xlsm]Dashbroad!PivotTable1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3792314422235682E-2"/>
          <c:y val="0.26716705375856797"/>
          <c:w val="0.93204633204633203"/>
          <c:h val="0.603600432298903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Dashbroad!$B$4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Dashbroad!$A$5:$A$9</c:f>
              <c:strCache>
                <c:ptCount val="5"/>
                <c:pt idx="0">
                  <c:v>Ashok Kumar</c:v>
                </c:pt>
                <c:pt idx="1">
                  <c:v>Emp_112</c:v>
                </c:pt>
                <c:pt idx="2">
                  <c:v>Manoj Kumar</c:v>
                </c:pt>
                <c:pt idx="3">
                  <c:v>Sunil Kumar</c:v>
                </c:pt>
                <c:pt idx="4">
                  <c:v>Tasneem Khan</c:v>
                </c:pt>
              </c:strCache>
            </c:strRef>
          </c:cat>
          <c:val>
            <c:numRef>
              <c:f>Dashbroad!$B$5:$B$9</c:f>
              <c:numCache>
                <c:formatCode>[$-F400]h:mm:ss\ AM/PM</c:formatCode>
                <c:ptCount val="5"/>
                <c:pt idx="0">
                  <c:v>1.3548611111111111</c:v>
                </c:pt>
                <c:pt idx="1">
                  <c:v>0.4152777777777778</c:v>
                </c:pt>
                <c:pt idx="2">
                  <c:v>0.54861111111111116</c:v>
                </c:pt>
                <c:pt idx="3">
                  <c:v>0.64861111111111114</c:v>
                </c:pt>
                <c:pt idx="4">
                  <c:v>0.4152777777777778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F0-46C9-89B0-E6FD0CF50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2610208"/>
        <c:axId val="1777572400"/>
      </c:barChart>
      <c:catAx>
        <c:axId val="177261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7572400"/>
        <c:crosses val="autoZero"/>
        <c:auto val="1"/>
        <c:lblAlgn val="ctr"/>
        <c:lblOffset val="100"/>
        <c:noMultiLvlLbl val="0"/>
      </c:catAx>
      <c:valAx>
        <c:axId val="1777572400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77261020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[Interactive_Dashboard.xlsm..xlsm]Dashbroad!PivotTable2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Dashbroad!$E$4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7A3-4646-B877-5382909B73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7A3-4646-B877-5382909B73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7A3-4646-B877-5382909B73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7A3-4646-B877-5382909B73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63A-4E82-B850-5BFE6E42466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63A-4E82-B850-5BFE6E42466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63A-4E82-B850-5BFE6E4246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Dashbroad!$D$5:$D$10</c:f>
              <c:strCache>
                <c:ptCount val="6"/>
                <c:pt idx="0">
                  <c:v>Anamika Gupta</c:v>
                </c:pt>
                <c:pt idx="1">
                  <c:v>Anita Dixit</c:v>
                </c:pt>
                <c:pt idx="2">
                  <c:v>Anita Ghore</c:v>
                </c:pt>
                <c:pt idx="3">
                  <c:v>Anjali Deoram</c:v>
                </c:pt>
                <c:pt idx="4">
                  <c:v>Arun Kumar</c:v>
                </c:pt>
                <c:pt idx="5">
                  <c:v>Ashish Kumar</c:v>
                </c:pt>
              </c:strCache>
            </c:strRef>
          </c:cat>
          <c:val>
            <c:numRef>
              <c:f>Dashbroad!$E$5:$E$10</c:f>
              <c:numCache>
                <c:formatCode>0.00%</c:formatCode>
                <c:ptCount val="6"/>
                <c:pt idx="0">
                  <c:v>0.65500000000000003</c:v>
                </c:pt>
                <c:pt idx="1">
                  <c:v>0.55210000000000004</c:v>
                </c:pt>
                <c:pt idx="2">
                  <c:v>0.56869999999999998</c:v>
                </c:pt>
                <c:pt idx="3">
                  <c:v>0.56040000000000001</c:v>
                </c:pt>
                <c:pt idx="4">
                  <c:v>0.5736</c:v>
                </c:pt>
                <c:pt idx="5">
                  <c:v>0.56430000000000002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F-4195-927A-010BDF6D47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[Interactive_Dashboard.xlsm..xlsm]Dashbroad!PivotTable3</c:name>
    <c:fmtId val="2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473684210526314E-2"/>
          <c:y val="0.32589987139859666"/>
          <c:w val="0.92763157894736847"/>
          <c:h val="0.36485752318209508"/>
        </c:manualLayout>
      </c:layout>
      <c:lineChart>
        <c:grouping val="standard"/>
        <c:varyColors val="0"/>
        <c:ser>
          <c:idx val="0"/>
          <c:order val="0"/>
          <c:tx>
            <c:strRef>
              <c:f>Dashbroad!$H$4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Dashbroad!$G$5:$G$9</c:f>
              <c:strCache>
                <c:ptCount val="5"/>
                <c:pt idx="0">
                  <c:v>Anamika Gupta</c:v>
                </c:pt>
                <c:pt idx="1">
                  <c:v>Anita Ghore</c:v>
                </c:pt>
                <c:pt idx="2">
                  <c:v>Anjali Deoram</c:v>
                </c:pt>
                <c:pt idx="3">
                  <c:v>Arun Kumar</c:v>
                </c:pt>
                <c:pt idx="4">
                  <c:v>Ashish Kumar</c:v>
                </c:pt>
              </c:strCache>
            </c:strRef>
          </c:cat>
          <c:val>
            <c:numRef>
              <c:f>Dashbroad!$H$5:$H$9</c:f>
              <c:numCache>
                <c:formatCode>0.00%</c:formatCode>
                <c:ptCount val="5"/>
                <c:pt idx="0">
                  <c:v>0.65500000000000003</c:v>
                </c:pt>
                <c:pt idx="1">
                  <c:v>0.56869999999999998</c:v>
                </c:pt>
                <c:pt idx="2">
                  <c:v>0.56040000000000001</c:v>
                </c:pt>
                <c:pt idx="3">
                  <c:v>0.5736</c:v>
                </c:pt>
                <c:pt idx="4">
                  <c:v>0.56430000000000002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29-4D13-ABD7-6A0B26951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5954815"/>
        <c:axId val="947703679"/>
      </c:lineChart>
      <c:catAx>
        <c:axId val="199595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7703679"/>
        <c:crosses val="autoZero"/>
        <c:auto val="1"/>
        <c:lblAlgn val="ctr"/>
        <c:lblOffset val="100"/>
        <c:noMultiLvlLbl val="0"/>
      </c:catAx>
      <c:valAx>
        <c:axId val="94770367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9959548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C$1" max="200" min="1" page="10" val="5"/>
</file>

<file path=xl/ctrlProps/ctrlProp2.xml><?xml version="1.0" encoding="utf-8"?>
<formControlPr xmlns="http://schemas.microsoft.com/office/spreadsheetml/2009/9/main" objectType="Spin" dx="31" fmlaLink="$C$3" max="200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819150</xdr:colOff>
      <xdr:row>0</xdr:row>
      <xdr:rowOff>19050</xdr:rowOff>
    </xdr:from>
    <xdr:to>
      <xdr:col>1</xdr:col>
      <xdr:colOff>1549400</xdr:colOff>
      <xdr:row>2</xdr:row>
      <xdr:rowOff>6350</xdr:rowOff>
    </xdr:to>
    <xdr:sp macro="" textlink="$C$1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733550" y="19050"/>
          <a:ext cx="730250" cy="45720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ctr"/>
        <a:lstStyle/>
        <a:p>
          <a:pPr algn="ctr"/>
          <a:fld id="{E825EFF3-ABAC-4989-A35E-4B6326409036}" type="TxLink">
            <a:rPr lang="en-US" sz="1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Condensed" panose="020B0502040204020203" pitchFamily="34" charset="0"/>
              <a:ea typeface="Calibri"/>
              <a:cs typeface="Calibri"/>
            </a:rPr>
            <a:pPr algn="ctr"/>
            <a:t>5</a:t>
          </a:fld>
          <a:endParaRPr lang="en-US" sz="18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 Condensed" panose="020B0502040204020203" pitchFamily="34" charset="0"/>
          </a:endParaRPr>
        </a:p>
      </xdr:txBody>
    </xdr:sp>
    <xdr:clientData/>
  </xdr:twoCellAnchor>
  <xdr:twoCellAnchor>
    <xdr:from>
      <xdr:col>0</xdr:col>
      <xdr:colOff>0</xdr:colOff>
      <xdr:row>9</xdr:row>
      <xdr:rowOff>12700</xdr:rowOff>
    </xdr:from>
    <xdr:to>
      <xdr:col>2</xdr:col>
      <xdr:colOff>127000</xdr:colOff>
      <xdr:row>21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</xdr:colOff>
      <xdr:row>0</xdr:row>
      <xdr:rowOff>63500</xdr:rowOff>
    </xdr:from>
    <xdr:to>
      <xdr:col>1</xdr:col>
      <xdr:colOff>165100</xdr:colOff>
      <xdr:row>1</xdr:row>
      <xdr:rowOff>139700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5400" y="63500"/>
          <a:ext cx="1003300" cy="349250"/>
        </a:xfrm>
        <a:prstGeom prst="rightArrow">
          <a:avLst>
            <a:gd name="adj1" fmla="val 100000"/>
            <a:gd name="adj2" fmla="val 8278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825500</xdr:colOff>
          <xdr:row>0</xdr:row>
          <xdr:rowOff>25400</xdr:rowOff>
        </xdr:from>
        <xdr:to>
          <xdr:col>1</xdr:col>
          <xdr:colOff>1041400</xdr:colOff>
          <xdr:row>2</xdr:row>
          <xdr:rowOff>6350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1593850</xdr:colOff>
      <xdr:row>0</xdr:row>
      <xdr:rowOff>50800</xdr:rowOff>
    </xdr:from>
    <xdr:to>
      <xdr:col>1</xdr:col>
      <xdr:colOff>2616200</xdr:colOff>
      <xdr:row>1</xdr:row>
      <xdr:rowOff>114300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flipH="1">
          <a:off x="2508250" y="50800"/>
          <a:ext cx="1022350" cy="336550"/>
        </a:xfrm>
        <a:prstGeom prst="rightArrow">
          <a:avLst>
            <a:gd name="adj1" fmla="val 100000"/>
            <a:gd name="adj2" fmla="val 8278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1</xdr:col>
      <xdr:colOff>190500</xdr:colOff>
      <xdr:row>0</xdr:row>
      <xdr:rowOff>6350</xdr:rowOff>
    </xdr:from>
    <xdr:to>
      <xdr:col>1</xdr:col>
      <xdr:colOff>711200</xdr:colOff>
      <xdr:row>1</xdr:row>
      <xdr:rowOff>184150</xdr:rowOff>
    </xdr:to>
    <xdr:pic macro="[0]!hidechart1"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100" y="6350"/>
          <a:ext cx="520700" cy="450850"/>
        </a:xfrm>
        <a:prstGeom prst="rect">
          <a:avLst/>
        </a:prstGeom>
      </xdr:spPr>
    </xdr:pic>
    <xdr:clientData/>
  </xdr:twoCellAnchor>
  <xdr:twoCellAnchor editAs="oneCell">
    <xdr:from>
      <xdr:col>1</xdr:col>
      <xdr:colOff>177801</xdr:colOff>
      <xdr:row>0</xdr:row>
      <xdr:rowOff>0</xdr:rowOff>
    </xdr:from>
    <xdr:to>
      <xdr:col>1</xdr:col>
      <xdr:colOff>711201</xdr:colOff>
      <xdr:row>1</xdr:row>
      <xdr:rowOff>171450</xdr:rowOff>
    </xdr:to>
    <xdr:pic macro="[0]!showchart1">
      <xdr:nvPicPr>
        <xdr:cNvPr id="19" name="Picture 18" descr="C:\Users\mahak gupta\Pictures\Screenshots\Screenshot 2026-06-30 234725.png" hidden="1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V="1">
          <a:off x="1041401" y="0"/>
          <a:ext cx="533400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615950</xdr:colOff>
      <xdr:row>0</xdr:row>
      <xdr:rowOff>0</xdr:rowOff>
    </xdr:from>
    <xdr:to>
      <xdr:col>4</xdr:col>
      <xdr:colOff>1441449</xdr:colOff>
      <xdr:row>2</xdr:row>
      <xdr:rowOff>6350</xdr:rowOff>
    </xdr:to>
    <xdr:sp macro="" textlink="$C$2">
      <xdr:nvSpPr>
        <xdr:cNvPr id="20" name="Rectangl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6140450" y="0"/>
          <a:ext cx="825499" cy="47625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ctr"/>
        <a:lstStyle/>
        <a:p>
          <a:pPr marL="0" indent="0" algn="ctr"/>
          <a:fld id="{CE9D99E0-1DDF-4721-AF85-A0B4190A43EB}" type="TxLink">
            <a:rPr lang="en-US" sz="1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Condensed" panose="020B0502040204020203" pitchFamily="34" charset="0"/>
              <a:ea typeface="Calibri"/>
              <a:cs typeface="Calibri"/>
            </a:rPr>
            <a:pPr marL="0" indent="0" algn="ctr"/>
            <a:t> </a:t>
          </a:fld>
          <a:r>
            <a:rPr lang="en-US" sz="1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Condensed" panose="020B0502040204020203" pitchFamily="34" charset="0"/>
              <a:ea typeface="Calibri"/>
              <a:cs typeface="Calibri"/>
            </a:rPr>
            <a:t>4</a:t>
          </a:r>
        </a:p>
      </xdr:txBody>
    </xdr:sp>
    <xdr:clientData/>
  </xdr:twoCellAnchor>
  <xdr:twoCellAnchor>
    <xdr:from>
      <xdr:col>3</xdr:col>
      <xdr:colOff>25400</xdr:colOff>
      <xdr:row>0</xdr:row>
      <xdr:rowOff>63500</xdr:rowOff>
    </xdr:from>
    <xdr:to>
      <xdr:col>4</xdr:col>
      <xdr:colOff>165100</xdr:colOff>
      <xdr:row>1</xdr:row>
      <xdr:rowOff>139700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5400" y="63500"/>
          <a:ext cx="1003300" cy="349250"/>
        </a:xfrm>
        <a:prstGeom prst="rightArrow">
          <a:avLst>
            <a:gd name="adj1" fmla="val 100000"/>
            <a:gd name="adj2" fmla="val 8278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717550</xdr:colOff>
          <xdr:row>0</xdr:row>
          <xdr:rowOff>0</xdr:rowOff>
        </xdr:from>
        <xdr:to>
          <xdr:col>4</xdr:col>
          <xdr:colOff>933450</xdr:colOff>
          <xdr:row>1</xdr:row>
          <xdr:rowOff>177800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4</xdr:col>
      <xdr:colOff>1460500</xdr:colOff>
      <xdr:row>0</xdr:row>
      <xdr:rowOff>38100</xdr:rowOff>
    </xdr:from>
    <xdr:to>
      <xdr:col>5</xdr:col>
      <xdr:colOff>6350</xdr:colOff>
      <xdr:row>1</xdr:row>
      <xdr:rowOff>152400</xdr:rowOff>
    </xdr:to>
    <xdr:sp macro="" textlink="">
      <xdr:nvSpPr>
        <xdr:cNvPr id="23" name="Arrow: Right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 flipH="1">
          <a:off x="6985000" y="38100"/>
          <a:ext cx="958850" cy="387350"/>
        </a:xfrm>
        <a:prstGeom prst="rightArrow">
          <a:avLst>
            <a:gd name="adj1" fmla="val 92157"/>
            <a:gd name="adj2" fmla="val 62032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oneCellAnchor>
    <xdr:from>
      <xdr:col>4</xdr:col>
      <xdr:colOff>69851</xdr:colOff>
      <xdr:row>0</xdr:row>
      <xdr:rowOff>19050</xdr:rowOff>
    </xdr:from>
    <xdr:ext cx="533400" cy="444500"/>
    <xdr:pic macro="[0]!showchart17">
      <xdr:nvPicPr>
        <xdr:cNvPr id="25" name="Picture 24" descr="C:\Users\mahak gupta\Pictures\Screenshots\Screenshot 2026-06-30 234725.png" hidden="1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V="1">
          <a:off x="5594351" y="19050"/>
          <a:ext cx="533400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911225</xdr:colOff>
      <xdr:row>10</xdr:row>
      <xdr:rowOff>0</xdr:rowOff>
    </xdr:from>
    <xdr:to>
      <xdr:col>5</xdr:col>
      <xdr:colOff>95250</xdr:colOff>
      <xdr:row>21</xdr:row>
      <xdr:rowOff>25400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19050</xdr:colOff>
      <xdr:row>9</xdr:row>
      <xdr:rowOff>19050</xdr:rowOff>
    </xdr:from>
    <xdr:to>
      <xdr:col>8</xdr:col>
      <xdr:colOff>273050</xdr:colOff>
      <xdr:row>21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25400</xdr:colOff>
      <xdr:row>0</xdr:row>
      <xdr:rowOff>38100</xdr:rowOff>
    </xdr:from>
    <xdr:to>
      <xdr:col>7</xdr:col>
      <xdr:colOff>165100</xdr:colOff>
      <xdr:row>1</xdr:row>
      <xdr:rowOff>139700</xdr:rowOff>
    </xdr:to>
    <xdr:sp macro="" textlink="">
      <xdr:nvSpPr>
        <xdr:cNvPr id="22" name="Arrow: Right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8826500" y="38100"/>
          <a:ext cx="1098550" cy="374650"/>
        </a:xfrm>
        <a:prstGeom prst="rightArrow">
          <a:avLst>
            <a:gd name="adj1" fmla="val 100000"/>
            <a:gd name="adj2" fmla="val 82787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absolute">
    <xdr:from>
      <xdr:col>7</xdr:col>
      <xdr:colOff>1536700</xdr:colOff>
      <xdr:row>0</xdr:row>
      <xdr:rowOff>38100</xdr:rowOff>
    </xdr:from>
    <xdr:to>
      <xdr:col>7</xdr:col>
      <xdr:colOff>2552700</xdr:colOff>
      <xdr:row>1</xdr:row>
      <xdr:rowOff>184150</xdr:rowOff>
    </xdr:to>
    <xdr:sp macro="" textlink="">
      <xdr:nvSpPr>
        <xdr:cNvPr id="28" name="Arrow: Right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 flipH="1">
          <a:off x="11296650" y="38100"/>
          <a:ext cx="1016000" cy="419100"/>
        </a:xfrm>
        <a:prstGeom prst="rightArrow">
          <a:avLst>
            <a:gd name="adj1" fmla="val 92157"/>
            <a:gd name="adj2" fmla="val 62032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absolute">
    <xdr:from>
      <xdr:col>7</xdr:col>
      <xdr:colOff>819151</xdr:colOff>
      <xdr:row>0</xdr:row>
      <xdr:rowOff>0</xdr:rowOff>
    </xdr:from>
    <xdr:to>
      <xdr:col>7</xdr:col>
      <xdr:colOff>1504951</xdr:colOff>
      <xdr:row>1</xdr:row>
      <xdr:rowOff>165100</xdr:rowOff>
    </xdr:to>
    <xdr:sp macro="" textlink="$C$2">
      <xdr:nvSpPr>
        <xdr:cNvPr id="29" name="Rectangl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0579101" y="0"/>
          <a:ext cx="685800" cy="438150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rtlCol="0" anchor="ctr"/>
        <a:lstStyle/>
        <a:p>
          <a:pPr marL="0" indent="0" algn="ctr"/>
          <a:fld id="{CE9D99E0-1DDF-4721-AF85-A0B4190A43EB}" type="TxLink">
            <a:rPr lang="en-US" sz="1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Condensed" panose="020B0502040204020203" pitchFamily="34" charset="0"/>
              <a:ea typeface="Calibri"/>
              <a:cs typeface="Calibri"/>
            </a:rPr>
            <a:pPr marL="0" indent="0" algn="ctr"/>
            <a:t> </a:t>
          </a:fld>
          <a:r>
            <a:rPr lang="en-US" sz="1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Condensed" panose="020B0502040204020203" pitchFamily="34" charset="0"/>
              <a:ea typeface="Calibri"/>
              <a:cs typeface="Calibri"/>
            </a:rPr>
            <a:t>4</a:t>
          </a:r>
        </a:p>
      </xdr:txBody>
    </xdr:sp>
    <xdr:clientData/>
  </xdr:twoCellAnchor>
  <xdr:oneCellAnchor>
    <xdr:from>
      <xdr:col>7</xdr:col>
      <xdr:colOff>234950</xdr:colOff>
      <xdr:row>0</xdr:row>
      <xdr:rowOff>0</xdr:rowOff>
    </xdr:from>
    <xdr:ext cx="533400" cy="444500"/>
    <xdr:pic macro="[0]!showchart17">
      <xdr:nvPicPr>
        <xdr:cNvPr id="30" name="Picture 29" descr="C:\Users\mahak gupta\Pictures\Screenshots\Screenshot 2026-06-30 234725.pn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V="1">
          <a:off x="9994900" y="0"/>
          <a:ext cx="533400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260350</xdr:colOff>
      <xdr:row>0</xdr:row>
      <xdr:rowOff>0</xdr:rowOff>
    </xdr:from>
    <xdr:to>
      <xdr:col>7</xdr:col>
      <xdr:colOff>781050</xdr:colOff>
      <xdr:row>1</xdr:row>
      <xdr:rowOff>177800</xdr:rowOff>
    </xdr:to>
    <xdr:pic macro="[0]!ToggleLineChart5">
      <xdr:nvPicPr>
        <xdr:cNvPr id="38" name="Pictur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0300" y="0"/>
          <a:ext cx="520700" cy="450850"/>
        </a:xfrm>
        <a:prstGeom prst="rect">
          <a:avLst/>
        </a:prstGeom>
      </xdr:spPr>
    </xdr:pic>
    <xdr:clientData/>
  </xdr:twoCellAnchor>
  <xdr:oneCellAnchor>
    <xdr:from>
      <xdr:col>4</xdr:col>
      <xdr:colOff>76200</xdr:colOff>
      <xdr:row>0</xdr:row>
      <xdr:rowOff>0</xdr:rowOff>
    </xdr:from>
    <xdr:ext cx="533400" cy="444500"/>
    <xdr:pic macro="[0]!ToggleLineChart">
      <xdr:nvPicPr>
        <xdr:cNvPr id="39" name="Picture 38" descr="C:\Users\mahak gupta\Pictures\Screenshots\Screenshot 2026-06-30 234725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V="1">
          <a:off x="5600700" y="0"/>
          <a:ext cx="533400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0.89432</cdr:x>
      <cdr:y>0.02571</cdr:y>
    </cdr:from>
    <cdr:to>
      <cdr:x>0.97634</cdr:x>
      <cdr:y>0.22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E5A929CB-2000-4C82-AF4E-0CF13BB4D28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3600450" y="57150"/>
          <a:ext cx="330200" cy="431800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hak gupta" refreshedDate="46215.94359884259" createdVersion="6" refreshedVersion="6" minRefreshableVersion="3" recordCount="150" xr:uid="{23D40D73-2214-4CC2-A4E9-6CFD17A8DC1C}">
  <cacheSource type="worksheet">
    <worksheetSource ref="A1:G151" sheet="Summary"/>
  </cacheSource>
  <cacheFields count="7">
    <cacheField name="Employee" numFmtId="0">
      <sharedItems/>
    </cacheField>
    <cacheField name="Emp Name" numFmtId="0">
      <sharedItems count="145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tul Kumar"/>
        <s v="Azam"/>
        <s v="Bhagwat Singh"/>
        <s v="Bindu Nair"/>
        <s v="Daleep Kumar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Lilly Lucy"/>
        <s v="Mangal Singh"/>
        <s v="Manisha Shrivastava"/>
        <s v="Manjusha Sinha"/>
        <s v="Manju 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  <s v="Emp_79"/>
        <s v="Emp_80"/>
        <s v="Emp_81"/>
        <s v="Emp_82"/>
        <s v="Emp_83"/>
        <s v="Emp_84"/>
        <s v="Emp_85"/>
        <s v="Emp_86"/>
        <s v="Emp_87"/>
        <s v="Emp_88"/>
        <s v="Emp_89"/>
        <s v="Emp_90"/>
        <s v="Emp_91"/>
        <s v="Emp_92"/>
        <s v="Emp_93"/>
        <s v="Emp_94"/>
        <s v="Emp_95"/>
        <s v="Emp_96"/>
        <s v="Emp_97"/>
        <s v="Emp_98"/>
        <s v="Emp_99"/>
        <s v="Emp_100"/>
        <s v="Emp_101"/>
        <s v="Emp_102"/>
        <s v="Emp_103"/>
        <s v="Emp_104"/>
        <s v="Emp_105"/>
        <s v="Emp_106"/>
        <s v="Emp_107"/>
        <s v="Emp_108"/>
        <s v="Emp_109"/>
        <s v="Emp_110"/>
        <s v="Emp_111"/>
        <s v="Emp_112"/>
        <s v="Emp_113"/>
        <s v="Emp_114"/>
        <s v="Emp_115"/>
        <s v="Emp_116"/>
        <s v="Emp_117"/>
        <s v="Emp_118"/>
        <s v="Emp_119"/>
        <s v="Emp_120"/>
        <s v="Emp_121"/>
        <s v="Emp_122"/>
        <s v="Emp_123"/>
        <s v="Emp_124"/>
        <s v="Emp_125"/>
        <s v="Emp_126"/>
        <s v="Emp_127"/>
        <s v="Emp_128"/>
        <s v="Emp_129"/>
        <s v="Emp_130"/>
        <s v="Emp_131"/>
        <s v="Emp_132"/>
        <s v="Emp_133"/>
        <s v="Emp_134"/>
        <s v="Emp_135"/>
        <s v="Emp_136"/>
        <s v="Emp_137"/>
        <s v="Emp_138"/>
        <s v="Emp_139"/>
        <s v="Emp_140"/>
        <s v="Emp_141"/>
        <s v="Emp_142"/>
        <s v="Emp_143"/>
        <s v="Emp_144"/>
        <s v="Emp_145"/>
        <s v="Emp_146"/>
        <s v="Emp_147"/>
        <s v="Emp_148"/>
        <s v="Emp_149"/>
        <s v="Emp_150"/>
      </sharedItems>
    </cacheField>
    <cacheField name="total no. of working hours" numFmtId="164">
      <sharedItems containsSemiMixedTypes="0" containsNonDate="0" containsDate="1" containsString="0" minDate="1899-12-30T06:04:00" maxDate="1899-12-30T09:58:00"/>
    </cacheField>
    <cacheField name="work effciency" numFmtId="164">
      <sharedItems containsSemiMixedTypes="0" containsNonDate="0" containsDate="1" containsString="0" minDate="1899-12-30T04:57:59" maxDate="1899-12-30T04:57:59"/>
    </cacheField>
    <cacheField name="total break taken" numFmtId="0">
      <sharedItems/>
    </cacheField>
    <cacheField name="attended calls" numFmtId="0">
      <sharedItems containsSemiMixedTypes="0" containsString="0" containsNumber="1" containsInteger="1" minValue="98" maxValue="98"/>
    </cacheField>
    <cacheField name="active with cust" numFmtId="9">
      <sharedItems containsSemiMixedTypes="0" containsString="0" containsNumber="1" minValue="0" maxValue="0.6550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s v="Mum_Abdul Hamid (1008512)"/>
    <x v="0"/>
    <d v="1899-12-30T06:17:00"/>
    <d v="1899-12-30T04:57:59"/>
    <s v="01:08:00"/>
    <n v="98"/>
    <n v="0.47720000000000001"/>
  </r>
  <r>
    <s v="Mum_Afzal Husain (1008513)"/>
    <x v="1"/>
    <d v="1899-12-30T08:09:00"/>
    <d v="1899-12-30T04:57:59"/>
    <s v="01:08:00"/>
    <n v="98"/>
    <n v="0.43290000000000001"/>
  </r>
  <r>
    <s v="Mum_Anamika Gupta (1008514)"/>
    <x v="2"/>
    <d v="1899-12-30T06:09:00"/>
    <d v="1899-12-30T04:57:59"/>
    <s v="01:08:00"/>
    <n v="98"/>
    <n v="0.65500000000000003"/>
  </r>
  <r>
    <s v="Mum_Anikuttan (1008515)"/>
    <x v="3"/>
    <d v="1899-12-30T08:42:00"/>
    <d v="1899-12-30T04:57:59"/>
    <s v="01:08:00"/>
    <n v="98"/>
    <n v="0.49480000000000002"/>
  </r>
  <r>
    <s v="Mum_Anil Kumar (1008516)"/>
    <x v="4"/>
    <d v="1899-12-30T06:52:00"/>
    <d v="1899-12-30T04:57:59"/>
    <s v="01:08:00"/>
    <n v="98"/>
    <n v="0.55130000000000001"/>
  </r>
  <r>
    <s v="Mum_Anita Dixit (1008517)"/>
    <x v="5"/>
    <d v="1899-12-30T07:53:00"/>
    <d v="1899-12-30T04:57:59"/>
    <s v="01:08:00"/>
    <n v="98"/>
    <n v="0.55210000000000004"/>
  </r>
  <r>
    <s v="Mum_Anita Ghore (1008518)"/>
    <x v="6"/>
    <d v="1899-12-30T07:03:00"/>
    <d v="1899-12-30T04:57:59"/>
    <s v="01:08:00"/>
    <n v="98"/>
    <n v="0.56869999999999998"/>
  </r>
  <r>
    <s v="Mum_Anjali Deoram (1008519)"/>
    <x v="7"/>
    <d v="1899-12-30T07:06:00"/>
    <d v="1899-12-30T04:57:59"/>
    <s v="01:08:00"/>
    <n v="98"/>
    <n v="0.56040000000000001"/>
  </r>
  <r>
    <s v="Mum_Anjali Sahay (1008520)"/>
    <x v="8"/>
    <d v="1899-12-30T07:15:00"/>
    <d v="1899-12-30T04:57:59"/>
    <s v="01:08:00"/>
    <n v="98"/>
    <n v="0.41549999999999998"/>
  </r>
  <r>
    <s v="Mum_Annu Latika (1008521)"/>
    <x v="9"/>
    <d v="1899-12-30T09:08:00"/>
    <d v="1899-12-30T04:57:59"/>
    <s v="01:08:00"/>
    <n v="98"/>
    <n v="0.50029999999999997"/>
  </r>
  <r>
    <s v="Mum_Anoop Narayan (1008522)"/>
    <x v="10"/>
    <d v="1899-12-30T09:19:00"/>
    <d v="1899-12-30T04:57:59"/>
    <s v="01:08:00"/>
    <n v="98"/>
    <n v="0.51400000000000001"/>
  </r>
  <r>
    <s v="Mum_Anoop Raj (1008523)"/>
    <x v="11"/>
    <d v="1899-12-30T06:26:00"/>
    <d v="1899-12-30T04:57:59"/>
    <s v="01:08:00"/>
    <n v="98"/>
    <n v="0.51060000000000005"/>
  </r>
  <r>
    <s v="Mum_Anubhuti Gupta (1008524)"/>
    <x v="12"/>
    <d v="1899-12-30T07:25:00"/>
    <d v="1899-12-30T04:57:59"/>
    <s v="01:08:00"/>
    <n v="98"/>
    <n v="0.4829"/>
  </r>
  <r>
    <s v="Mum_Arun Kumar (1008525)"/>
    <x v="13"/>
    <d v="1899-12-30T09:39:00"/>
    <d v="1899-12-30T04:57:59"/>
    <s v="01:08:00"/>
    <n v="98"/>
    <n v="0.5736"/>
  </r>
  <r>
    <s v="Mum_Ashish Kumar (1008526)"/>
    <x v="14"/>
    <d v="1899-12-30T08:32:00"/>
    <d v="1899-12-30T04:57:59"/>
    <s v="01:08:00"/>
    <n v="98"/>
    <n v="0.56430000000000002"/>
  </r>
  <r>
    <s v="Mum_Ashok Kumar (1008527)"/>
    <x v="15"/>
    <d v="1899-12-30T06:34:00"/>
    <d v="1899-12-30T04:57:59"/>
    <s v="01:08:00"/>
    <n v="98"/>
    <n v="0.46970000000000001"/>
  </r>
  <r>
    <s v="Hyd_Ashok Kumar (1008528)"/>
    <x v="15"/>
    <d v="1899-12-30T09:15:00"/>
    <d v="1899-12-30T04:57:59"/>
    <s v="01:08:00"/>
    <n v="98"/>
    <n v="0"/>
  </r>
  <r>
    <s v="Hyd_Ashok Kumar (1008529)"/>
    <x v="15"/>
    <d v="1899-12-30T06:58:00"/>
    <d v="1899-12-30T04:57:59"/>
    <s v="01:08:00"/>
    <n v="98"/>
    <n v="0"/>
  </r>
  <r>
    <s v="Hyd_Ashok Kumar (1008530)"/>
    <x v="15"/>
    <d v="1899-12-30T09:44:00"/>
    <d v="1899-12-30T04:57:59"/>
    <s v="01:08:00"/>
    <n v="98"/>
    <n v="0"/>
  </r>
  <r>
    <s v="Hyd_Atul Kumar (1008532)"/>
    <x v="16"/>
    <d v="1899-12-30T08:39:00"/>
    <d v="1899-12-30T04:57:59"/>
    <s v="01:08:00"/>
    <n v="98"/>
    <n v="0"/>
  </r>
  <r>
    <s v="Hyd_Azam (1008533)"/>
    <x v="17"/>
    <d v="1899-12-30T08:03:00"/>
    <d v="1899-12-30T04:57:59"/>
    <s v="01:08:00"/>
    <n v="98"/>
    <n v="0"/>
  </r>
  <r>
    <s v="Hyd_Bhagwat Singh (1008534)"/>
    <x v="18"/>
    <d v="1899-12-30T06:54:00"/>
    <d v="1899-12-30T04:57:59"/>
    <s v="01:08:00"/>
    <n v="98"/>
    <n v="0"/>
  </r>
  <r>
    <s v="Hyd_Bindu Nair (1008535)"/>
    <x v="19"/>
    <d v="1899-12-30T07:40:00"/>
    <d v="1899-12-30T04:57:59"/>
    <s v="01:08:00"/>
    <n v="98"/>
    <n v="0"/>
  </r>
  <r>
    <s v="Hyd_Daleep Kumar (1008536)"/>
    <x v="20"/>
    <d v="1899-12-30T08:05:00"/>
    <d v="1899-12-30T04:57:59"/>
    <s v="01:08:00"/>
    <n v="98"/>
    <n v="0"/>
  </r>
  <r>
    <s v="Hyd_Deepak Kumar (1008537)"/>
    <x v="21"/>
    <d v="1899-12-30T07:51:00"/>
    <d v="1899-12-30T04:57:59"/>
    <s v="01:08:00"/>
    <n v="98"/>
    <n v="0"/>
  </r>
  <r>
    <s v="Hyd_Deepika Nigam (1008538)"/>
    <x v="22"/>
    <d v="1899-12-30T08:16:00"/>
    <d v="1899-12-30T04:57:59"/>
    <s v="01:08:00"/>
    <n v="98"/>
    <n v="0"/>
  </r>
  <r>
    <s v="Hyd_Dinesh Kumar (1008539)"/>
    <x v="23"/>
    <d v="1899-12-30T07:27:00"/>
    <d v="1899-12-30T04:57:59"/>
    <s v="01:08:00"/>
    <n v="98"/>
    <n v="0"/>
  </r>
  <r>
    <s v="Hyd_Hari Kumar (1008540)"/>
    <x v="24"/>
    <d v="1899-12-30T08:25:00"/>
    <d v="1899-12-30T04:57:59"/>
    <s v="01:08:00"/>
    <n v="98"/>
    <n v="0"/>
  </r>
  <r>
    <s v="Hyd_Heeramani Choudhary (1008541)"/>
    <x v="25"/>
    <d v="1899-12-30T06:16:00"/>
    <d v="1899-12-30T04:57:59"/>
    <s v="01:08:00"/>
    <n v="98"/>
    <n v="0"/>
  </r>
  <r>
    <s v="Hyd_Indra Pal (1008542)"/>
    <x v="26"/>
    <d v="1899-12-30T06:07:00"/>
    <d v="1899-12-30T04:57:59"/>
    <s v="01:08:00"/>
    <n v="98"/>
    <n v="0"/>
  </r>
  <r>
    <s v="Hyd_Indra Singh (1008543)"/>
    <x v="27"/>
    <d v="1899-12-30T08:56:00"/>
    <d v="1899-12-30T04:57:59"/>
    <s v="01:08:00"/>
    <n v="98"/>
    <n v="0"/>
  </r>
  <r>
    <s v="Hyd_Jagdish Chandra (1008544)"/>
    <x v="28"/>
    <d v="1899-12-30T06:55:00"/>
    <d v="1899-12-30T04:57:59"/>
    <s v="01:08:00"/>
    <n v="98"/>
    <n v="0"/>
  </r>
  <r>
    <s v="Hyd_Jairaj Vatham (1008545)"/>
    <x v="29"/>
    <d v="1899-12-30T09:50:00"/>
    <d v="1899-12-30T04:57:59"/>
    <s v="01:08:00"/>
    <n v="98"/>
    <n v="0"/>
  </r>
  <r>
    <s v="Hyd_Janardan Mishra (1008546)"/>
    <x v="30"/>
    <d v="1899-12-30T08:28:00"/>
    <d v="1899-12-30T04:57:59"/>
    <s v="01:08:00"/>
    <n v="98"/>
    <n v="0"/>
  </r>
  <r>
    <s v="Hyd_Jitendra Kumar (1008547)"/>
    <x v="31"/>
    <d v="1899-12-30T07:01:00"/>
    <d v="1899-12-30T04:57:59"/>
    <s v="01:08:00"/>
    <n v="98"/>
    <n v="0"/>
  </r>
  <r>
    <s v="Hyd_John D'Costa (1008548)"/>
    <x v="32"/>
    <d v="1899-12-30T07:39:00"/>
    <d v="1899-12-30T04:57:59"/>
    <s v="01:08:00"/>
    <n v="98"/>
    <n v="0"/>
  </r>
  <r>
    <s v="Hyd_Julie S (1008549)"/>
    <x v="33"/>
    <d v="1899-12-30T08:17:00"/>
    <d v="1899-12-30T04:57:59"/>
    <s v="01:08:00"/>
    <n v="98"/>
    <n v="0"/>
  </r>
  <r>
    <s v="Hyd_Jyoti Tulsani (1008550)"/>
    <x v="34"/>
    <d v="1899-12-30T07:46:00"/>
    <d v="1899-12-30T04:57:59"/>
    <s v="01:08:00"/>
    <n v="98"/>
    <n v="0"/>
  </r>
  <r>
    <s v="Hyd_Kahkasha Parveen (1008551)"/>
    <x v="35"/>
    <d v="1899-12-30T09:44:00"/>
    <d v="1899-12-30T04:57:59"/>
    <s v="01:08:00"/>
    <n v="98"/>
    <n v="0"/>
  </r>
  <r>
    <s v="Hyd_Lilly Lucy (1008552)"/>
    <x v="36"/>
    <d v="1899-12-30T07:49:00"/>
    <d v="1899-12-30T04:57:59"/>
    <s v="01:08:00"/>
    <n v="98"/>
    <n v="0"/>
  </r>
  <r>
    <s v="Hyd_Mangal Singh (1008553)"/>
    <x v="37"/>
    <d v="1899-12-30T07:52:00"/>
    <d v="1899-12-30T04:57:59"/>
    <s v="01:08:00"/>
    <n v="98"/>
    <n v="0"/>
  </r>
  <r>
    <s v="Hyd_Manisha Shrivastava (1008554)"/>
    <x v="38"/>
    <d v="1899-12-30T07:21:00"/>
    <d v="1899-12-30T04:57:59"/>
    <s v="01:08:00"/>
    <n v="98"/>
    <n v="0"/>
  </r>
  <r>
    <s v="Hyd_Manjusha Sinha (1008555)"/>
    <x v="39"/>
    <d v="1899-12-30T08:56:00"/>
    <d v="1899-12-30T04:57:59"/>
    <s v="01:08:00"/>
    <n v="98"/>
    <n v="0"/>
  </r>
  <r>
    <s v="Hyd_Manju Tiwari Lab (1008556)"/>
    <x v="40"/>
    <d v="1899-12-30T09:50:00"/>
    <d v="1899-12-30T04:57:59"/>
    <s v="01:08:00"/>
    <n v="98"/>
    <n v="0"/>
  </r>
  <r>
    <s v="Hyd_Manoj Kumar (1008557)"/>
    <x v="41"/>
    <d v="1899-12-30T06:33:00"/>
    <d v="1899-12-30T04:57:59"/>
    <s v="01:08:00"/>
    <n v="98"/>
    <n v="0"/>
  </r>
  <r>
    <s v="Hyd_Manoj Kumar (1008558)"/>
    <x v="41"/>
    <d v="1899-12-30T06:37:00"/>
    <d v="1899-12-30T04:57:59"/>
    <s v="01:08:00"/>
    <n v="98"/>
    <n v="0"/>
  </r>
  <r>
    <s v="Hyd_Masroor Adil (1008559)"/>
    <x v="42"/>
    <d v="1899-12-30T07:36:00"/>
    <d v="1899-12-30T04:57:59"/>
    <s v="01:08:00"/>
    <n v="98"/>
    <n v="0"/>
  </r>
  <r>
    <s v="Hyd_Meena Zinjare (1008560)"/>
    <x v="43"/>
    <d v="1899-12-30T07:00:00"/>
    <d v="1899-12-30T04:57:59"/>
    <s v="01:08:00"/>
    <n v="98"/>
    <n v="0"/>
  </r>
  <r>
    <s v="Hyd_Mehnaz Khan (1008561)"/>
    <x v="44"/>
    <d v="1899-12-30T06:23:00"/>
    <d v="1899-12-30T04:57:59"/>
    <s v="01:08:00"/>
    <n v="98"/>
    <n v="0"/>
  </r>
  <r>
    <s v="Hyd_Mercy Thampi (1008562)"/>
    <x v="45"/>
    <d v="1899-12-30T06:41:00"/>
    <d v="1899-12-30T04:57:59"/>
    <s v="01:08:00"/>
    <n v="98"/>
    <n v="0"/>
  </r>
  <r>
    <s v="Hyd_Miny Mole (1008563)"/>
    <x v="46"/>
    <d v="1899-12-30T06:04:00"/>
    <d v="1899-12-30T04:57:59"/>
    <s v="01:08:00"/>
    <n v="98"/>
    <n v="0"/>
  </r>
  <r>
    <s v="Hyd_Mohd Rafi (1008564)"/>
    <x v="47"/>
    <d v="1899-12-30T09:38:00"/>
    <d v="1899-12-30T04:57:59"/>
    <s v="01:08:00"/>
    <n v="98"/>
    <n v="0"/>
  </r>
  <r>
    <s v="Hyd_Mubeen Khan (1008565)"/>
    <x v="48"/>
    <d v="1899-12-30T07:48:00"/>
    <d v="1899-12-30T04:57:59"/>
    <s v="01:08:00"/>
    <n v="98"/>
    <n v="0"/>
  </r>
  <r>
    <s v="Hyd_Mukesh Nagar (1008566)"/>
    <x v="49"/>
    <d v="1899-12-30T07:31:00"/>
    <d v="1899-12-30T04:57:59"/>
    <s v="01:08:00"/>
    <n v="98"/>
    <n v="0"/>
  </r>
  <r>
    <s v="Hyd_Nandu Kumar (1008567)"/>
    <x v="50"/>
    <d v="1899-12-30T07:10:00"/>
    <d v="1899-12-30T04:57:59"/>
    <s v="01:08:00"/>
    <n v="98"/>
    <n v="0"/>
  </r>
  <r>
    <s v="Hyd_Narayan Singh (1008568)"/>
    <x v="51"/>
    <d v="1899-12-30T09:56:00"/>
    <d v="1899-12-30T04:57:59"/>
    <s v="01:08:00"/>
    <n v="98"/>
    <n v="0"/>
  </r>
  <r>
    <s v="Hyd_Neeraj Saxena (1008569)"/>
    <x v="52"/>
    <d v="1899-12-30T06:36:00"/>
    <d v="1899-12-30T04:57:59"/>
    <s v="01:08:00"/>
    <n v="98"/>
    <n v="0"/>
  </r>
  <r>
    <s v="Hyd_Neeru Mehta (1008570)"/>
    <x v="53"/>
    <d v="1899-12-30T08:57:00"/>
    <d v="1899-12-30T04:57:59"/>
    <s v="01:08:00"/>
    <n v="98"/>
    <n v="0"/>
  </r>
  <r>
    <s v="Hyd_Nikita Panwalkar (1008571)"/>
    <x v="54"/>
    <d v="1899-12-30T09:33:00"/>
    <d v="1899-12-30T04:57:59"/>
    <s v="01:08:00"/>
    <n v="98"/>
    <n v="0"/>
  </r>
  <r>
    <s v="Del_Sonaram Munda (1008642)"/>
    <x v="55"/>
    <d v="1899-12-30T08:08:00"/>
    <d v="1899-12-30T04:57:59"/>
    <s v="01:08:00"/>
    <n v="98"/>
    <n v="0"/>
  </r>
  <r>
    <s v="Del_Sudama Kumar (1008643)"/>
    <x v="56"/>
    <d v="1899-12-30T08:01:00"/>
    <d v="1899-12-30T04:57:59"/>
    <s v="01:08:00"/>
    <n v="98"/>
    <n v="0"/>
  </r>
  <r>
    <s v="Del_Sudhir Kumar (1008644)"/>
    <x v="57"/>
    <d v="1899-12-30T08:42:00"/>
    <d v="1899-12-30T04:57:59"/>
    <s v="01:08:00"/>
    <n v="98"/>
    <n v="0"/>
  </r>
  <r>
    <s v="Del_Sunil Kumar (1008645)"/>
    <x v="58"/>
    <d v="1899-12-30T06:14:00"/>
    <d v="1899-12-30T04:57:59"/>
    <s v="01:08:00"/>
    <n v="98"/>
    <n v="0"/>
  </r>
  <r>
    <s v="Del_Sunil Kumar (1008646)"/>
    <x v="58"/>
    <d v="1899-12-30T09:20:00"/>
    <d v="1899-12-30T04:57:59"/>
    <s v="01:08:00"/>
    <n v="98"/>
    <n v="0"/>
  </r>
  <r>
    <s v="Del_Sunita Chawla (1008647)"/>
    <x v="59"/>
    <d v="1899-12-30T09:39:00"/>
    <d v="1899-12-30T04:57:59"/>
    <s v="01:08:00"/>
    <n v="98"/>
    <n v="0"/>
  </r>
  <r>
    <s v="Del_Sunita Madnani (1008648)"/>
    <x v="60"/>
    <d v="1899-12-30T09:11:00"/>
    <d v="1899-12-30T04:57:59"/>
    <s v="01:08:00"/>
    <n v="98"/>
    <n v="0"/>
  </r>
  <r>
    <s v="Del_Surendra Kumar (1008649)"/>
    <x v="61"/>
    <d v="1899-12-30T07:15:00"/>
    <d v="1899-12-30T04:57:59"/>
    <s v="01:08:00"/>
    <n v="98"/>
    <n v="0"/>
  </r>
  <r>
    <s v="Del_Surendranath Thakur (1008650)"/>
    <x v="62"/>
    <d v="1899-12-30T09:04:00"/>
    <d v="1899-12-30T04:57:59"/>
    <s v="01:08:00"/>
    <n v="98"/>
    <n v="0"/>
  </r>
  <r>
    <s v="Del_Sushma Khandelwal (1008651)"/>
    <x v="63"/>
    <d v="1899-12-30T07:44:00"/>
    <d v="1899-12-30T04:57:59"/>
    <s v="01:08:00"/>
    <n v="98"/>
    <n v="0"/>
  </r>
  <r>
    <s v="Del_Swarnlata Borse (1008652)"/>
    <x v="64"/>
    <d v="1899-12-30T07:06:00"/>
    <d v="1899-12-30T04:57:59"/>
    <s v="01:08:00"/>
    <n v="98"/>
    <n v="0"/>
  </r>
  <r>
    <s v="Del_Syed Naved (1008653)"/>
    <x v="65"/>
    <d v="1899-12-30T07:16:00"/>
    <d v="1899-12-30T04:57:59"/>
    <s v="01:08:00"/>
    <n v="98"/>
    <n v="0"/>
  </r>
  <r>
    <s v="Del_Syed Saqib (1008654)"/>
    <x v="66"/>
    <d v="1899-12-30T08:19:00"/>
    <d v="1899-12-30T04:57:59"/>
    <s v="01:08:00"/>
    <n v="98"/>
    <n v="0"/>
  </r>
  <r>
    <s v="Del_Syed Sohail (1008655)"/>
    <x v="67"/>
    <d v="1899-12-30T07:58:00"/>
    <d v="1899-12-30T04:57:59"/>
    <s v="01:08:00"/>
    <n v="98"/>
    <n v="0"/>
  </r>
  <r>
    <s v="Del_System Operator (1008656)"/>
    <x v="68"/>
    <d v="1899-12-30T08:30:00"/>
    <d v="1899-12-30T04:57:59"/>
    <s v="01:08:00"/>
    <n v="98"/>
    <n v="0"/>
  </r>
  <r>
    <s v="Del_Tahira Qureshi (1008657)"/>
    <x v="69"/>
    <d v="1899-12-30T08:11:00"/>
    <d v="1899-12-30T04:57:59"/>
    <s v="01:08:00"/>
    <n v="98"/>
    <n v="0"/>
  </r>
  <r>
    <s v="Del_Tapas Chakraborty (1008658)"/>
    <x v="70"/>
    <d v="1899-12-30T07:59:00"/>
    <d v="1899-12-30T04:57:59"/>
    <s v="01:08:00"/>
    <n v="98"/>
    <n v="0"/>
  </r>
  <r>
    <s v="Del_Tariq Akhlaq (1008659)"/>
    <x v="71"/>
    <d v="1899-12-30T07:07:00"/>
    <d v="1899-12-30T04:57:59"/>
    <s v="01:08:00"/>
    <n v="98"/>
    <n v="0"/>
  </r>
  <r>
    <s v="Del_Tasneem Khan (1008660)"/>
    <x v="72"/>
    <d v="1899-12-30T09:58:00"/>
    <d v="1899-12-30T04:57:59"/>
    <s v="01:08:00"/>
    <n v="98"/>
    <n v="0"/>
  </r>
  <r>
    <s v="Del_Emp_79 (1008738)"/>
    <x v="73"/>
    <d v="1899-12-30T09:26:00"/>
    <d v="1899-12-30T04:57:59"/>
    <s v="01:08:00"/>
    <n v="98"/>
    <n v="0"/>
  </r>
  <r>
    <s v="Del_Emp_80 (1008739)"/>
    <x v="74"/>
    <d v="1899-12-30T06:22:00"/>
    <d v="1899-12-30T04:57:59"/>
    <s v="01:08:00"/>
    <n v="98"/>
    <n v="0"/>
  </r>
  <r>
    <s v="Del_Emp_81 (1008740)"/>
    <x v="75"/>
    <d v="1899-12-30T09:22:00"/>
    <d v="1899-12-30T04:57:59"/>
    <s v="01:08:00"/>
    <n v="98"/>
    <n v="0"/>
  </r>
  <r>
    <s v="Del_Emp_82 (1008741)"/>
    <x v="76"/>
    <d v="1899-12-30T08:47:00"/>
    <d v="1899-12-30T04:57:59"/>
    <s v="01:08:00"/>
    <n v="98"/>
    <n v="0"/>
  </r>
  <r>
    <s v="Del_Emp_83 (1008742)"/>
    <x v="77"/>
    <d v="1899-12-30T07:22:00"/>
    <d v="1899-12-30T04:57:59"/>
    <s v="01:08:00"/>
    <n v="98"/>
    <n v="0"/>
  </r>
  <r>
    <s v="Del_Emp_84 (1008743)"/>
    <x v="78"/>
    <d v="1899-12-30T08:41:00"/>
    <d v="1899-12-30T04:57:59"/>
    <s v="01:08:00"/>
    <n v="98"/>
    <n v="0"/>
  </r>
  <r>
    <s v="Del_Emp_85 (1008744)"/>
    <x v="79"/>
    <d v="1899-12-30T07:44:00"/>
    <d v="1899-12-30T04:57:59"/>
    <s v="01:08:00"/>
    <n v="98"/>
    <n v="0"/>
  </r>
  <r>
    <s v="Del_Emp_86 (1008745)"/>
    <x v="80"/>
    <d v="1899-12-30T08:13:00"/>
    <d v="1899-12-30T04:57:59"/>
    <s v="01:08:00"/>
    <n v="98"/>
    <n v="0"/>
  </r>
  <r>
    <s v="Del_Emp_87 (1008746)"/>
    <x v="81"/>
    <d v="1899-12-30T06:26:00"/>
    <d v="1899-12-30T04:57:59"/>
    <s v="01:08:00"/>
    <n v="98"/>
    <n v="0"/>
  </r>
  <r>
    <s v="Del_Emp_88 (1008747)"/>
    <x v="82"/>
    <d v="1899-12-30T07:20:00"/>
    <d v="1899-12-30T04:57:59"/>
    <s v="01:08:00"/>
    <n v="98"/>
    <n v="0"/>
  </r>
  <r>
    <s v="Del_Emp_89 (1008748)"/>
    <x v="83"/>
    <d v="1899-12-30T08:56:00"/>
    <d v="1899-12-30T04:57:59"/>
    <s v="01:08:00"/>
    <n v="98"/>
    <n v="0"/>
  </r>
  <r>
    <s v="Del_Emp_90 (1008749)"/>
    <x v="84"/>
    <d v="1899-12-30T09:46:00"/>
    <d v="1899-12-30T04:57:59"/>
    <s v="01:08:00"/>
    <n v="98"/>
    <n v="0"/>
  </r>
  <r>
    <s v="Del_Emp_91 (1008750)"/>
    <x v="85"/>
    <d v="1899-12-30T08:29:00"/>
    <d v="1899-12-30T04:57:59"/>
    <s v="01:08:00"/>
    <n v="98"/>
    <n v="0"/>
  </r>
  <r>
    <s v="Del_Emp_92 (1008751)"/>
    <x v="86"/>
    <d v="1899-12-30T07:36:00"/>
    <d v="1899-12-30T04:57:59"/>
    <s v="01:08:00"/>
    <n v="98"/>
    <n v="0"/>
  </r>
  <r>
    <s v="Del_Emp_93 (1008752)"/>
    <x v="87"/>
    <d v="1899-12-30T09:06:00"/>
    <d v="1899-12-30T04:57:59"/>
    <s v="01:08:00"/>
    <n v="98"/>
    <n v="0"/>
  </r>
  <r>
    <s v="Del_Emp_94 (1008753)"/>
    <x v="88"/>
    <d v="1899-12-30T06:31:00"/>
    <d v="1899-12-30T04:57:59"/>
    <s v="01:08:00"/>
    <n v="98"/>
    <n v="0"/>
  </r>
  <r>
    <s v="Del_Emp_95 (1008754)"/>
    <x v="89"/>
    <d v="1899-12-30T08:09:00"/>
    <d v="1899-12-30T04:57:59"/>
    <s v="01:08:00"/>
    <n v="98"/>
    <n v="0"/>
  </r>
  <r>
    <s v="Del_Emp_96 (1008755)"/>
    <x v="90"/>
    <d v="1899-12-30T06:30:00"/>
    <d v="1899-12-30T04:57:59"/>
    <s v="01:08:00"/>
    <n v="98"/>
    <n v="0"/>
  </r>
  <r>
    <s v="Del_Emp_97 (1008756)"/>
    <x v="91"/>
    <d v="1899-12-30T07:53:00"/>
    <d v="1899-12-30T04:57:59"/>
    <s v="01:08:00"/>
    <n v="98"/>
    <n v="0"/>
  </r>
  <r>
    <s v="Del_Emp_98 (1008757)"/>
    <x v="92"/>
    <d v="1899-12-30T06:42:00"/>
    <d v="1899-12-30T04:57:59"/>
    <s v="01:08:00"/>
    <n v="98"/>
    <n v="0"/>
  </r>
  <r>
    <s v="Del_Emp_99 (1008758)"/>
    <x v="93"/>
    <d v="1899-12-30T06:26:00"/>
    <d v="1899-12-30T04:57:59"/>
    <s v="01:08:00"/>
    <n v="98"/>
    <n v="0"/>
  </r>
  <r>
    <s v="Del_Emp_100 (1008759)"/>
    <x v="94"/>
    <d v="1899-12-30T07:07:00"/>
    <d v="1899-12-30T04:57:59"/>
    <s v="01:08:00"/>
    <n v="98"/>
    <n v="0"/>
  </r>
  <r>
    <s v="Del_Emp_101 (1008760)"/>
    <x v="95"/>
    <d v="1899-12-30T09:53:00"/>
    <d v="1899-12-30T04:57:59"/>
    <s v="01:08:00"/>
    <n v="98"/>
    <n v="0"/>
  </r>
  <r>
    <s v="Del_Emp_102 (1008761)"/>
    <x v="96"/>
    <d v="1899-12-30T07:34:00"/>
    <d v="1899-12-30T04:57:59"/>
    <s v="01:08:00"/>
    <n v="98"/>
    <n v="0"/>
  </r>
  <r>
    <s v="Del_Emp_103 (1008762)"/>
    <x v="97"/>
    <d v="1899-12-30T09:23:00"/>
    <d v="1899-12-30T04:57:59"/>
    <s v="01:08:00"/>
    <n v="98"/>
    <n v="0"/>
  </r>
  <r>
    <s v="Del_Emp_104 (1008763)"/>
    <x v="98"/>
    <d v="1899-12-30T08:37:00"/>
    <d v="1899-12-30T04:57:59"/>
    <s v="01:08:00"/>
    <n v="98"/>
    <n v="0"/>
  </r>
  <r>
    <s v="Del_Emp_105 (1008764)"/>
    <x v="99"/>
    <d v="1899-12-30T09:38:00"/>
    <d v="1899-12-30T04:57:59"/>
    <s v="01:08:00"/>
    <n v="98"/>
    <n v="0"/>
  </r>
  <r>
    <s v="Del_Emp_106 (1008765)"/>
    <x v="100"/>
    <d v="1899-12-30T06:09:00"/>
    <d v="1899-12-30T04:57:59"/>
    <s v="01:08:00"/>
    <n v="98"/>
    <n v="0"/>
  </r>
  <r>
    <s v="Del_Emp_107 (1008766)"/>
    <x v="101"/>
    <d v="1899-12-30T08:26:00"/>
    <d v="1899-12-30T04:57:59"/>
    <s v="01:08:00"/>
    <n v="98"/>
    <n v="0"/>
  </r>
  <r>
    <s v="Del_Emp_108 (1008767)"/>
    <x v="102"/>
    <d v="1899-12-30T06:48:00"/>
    <d v="1899-12-30T04:57:59"/>
    <s v="01:08:00"/>
    <n v="98"/>
    <n v="0"/>
  </r>
  <r>
    <s v="Del_Emp_109 (1008768)"/>
    <x v="103"/>
    <d v="1899-12-30T06:26:00"/>
    <d v="1899-12-30T04:57:59"/>
    <s v="01:08:00"/>
    <n v="98"/>
    <n v="0"/>
  </r>
  <r>
    <s v="Del_Emp_110 (1008769)"/>
    <x v="104"/>
    <d v="1899-12-30T09:46:00"/>
    <d v="1899-12-30T04:57:59"/>
    <s v="01:08:00"/>
    <n v="98"/>
    <n v="0"/>
  </r>
  <r>
    <s v="Del_Emp_111 (1008770)"/>
    <x v="105"/>
    <d v="1899-12-30T09:46:00"/>
    <d v="1899-12-30T04:57:59"/>
    <s v="01:08:00"/>
    <n v="98"/>
    <n v="0"/>
  </r>
  <r>
    <s v="Del_Emp_112 (1008771)"/>
    <x v="106"/>
    <d v="1899-12-30T09:58:00"/>
    <d v="1899-12-30T04:57:59"/>
    <s v="01:08:00"/>
    <n v="98"/>
    <n v="0"/>
  </r>
  <r>
    <s v="Del_Emp_113 (1008772)"/>
    <x v="107"/>
    <d v="1899-12-30T07:06:00"/>
    <d v="1899-12-30T04:57:59"/>
    <s v="01:08:00"/>
    <n v="98"/>
    <n v="0"/>
  </r>
  <r>
    <s v="Del_Emp_114 (1008773)"/>
    <x v="108"/>
    <d v="1899-12-30T09:42:00"/>
    <d v="1899-12-30T04:57:59"/>
    <s v="01:08:00"/>
    <n v="98"/>
    <n v="0"/>
  </r>
  <r>
    <s v="Del_Emp_115 (1008774)"/>
    <x v="109"/>
    <d v="1899-12-30T07:13:00"/>
    <d v="1899-12-30T04:57:59"/>
    <s v="01:08:00"/>
    <n v="98"/>
    <n v="0"/>
  </r>
  <r>
    <s v="Del_Emp_116 (1008775)"/>
    <x v="110"/>
    <d v="1899-12-30T07:25:00"/>
    <d v="1899-12-30T04:57:59"/>
    <s v="01:08:00"/>
    <n v="98"/>
    <n v="0"/>
  </r>
  <r>
    <s v="Del_Emp_117 (1008776)"/>
    <x v="111"/>
    <d v="1899-12-30T09:24:00"/>
    <d v="1899-12-30T04:57:59"/>
    <s v="01:08:00"/>
    <n v="98"/>
    <n v="0"/>
  </r>
  <r>
    <s v="Del_Emp_118 (1008777)"/>
    <x v="112"/>
    <d v="1899-12-30T06:10:00"/>
    <d v="1899-12-30T04:57:59"/>
    <s v="01:08:00"/>
    <n v="98"/>
    <n v="0"/>
  </r>
  <r>
    <s v="Del_Emp_119 (1008778)"/>
    <x v="113"/>
    <d v="1899-12-30T09:34:00"/>
    <d v="1899-12-30T04:57:59"/>
    <s v="01:08:00"/>
    <n v="98"/>
    <n v="0"/>
  </r>
  <r>
    <s v="Del_Emp_120 (1008779)"/>
    <x v="114"/>
    <d v="1899-12-30T09:36:00"/>
    <d v="1899-12-30T04:57:59"/>
    <s v="01:08:00"/>
    <n v="98"/>
    <n v="0"/>
  </r>
  <r>
    <s v="Del_Emp_121 (1008780)"/>
    <x v="115"/>
    <d v="1899-12-30T09:49:00"/>
    <d v="1899-12-30T04:57:59"/>
    <s v="01:08:00"/>
    <n v="98"/>
    <n v="0"/>
  </r>
  <r>
    <s v="Del_Emp_122 (1008781)"/>
    <x v="116"/>
    <d v="1899-12-30T09:35:00"/>
    <d v="1899-12-30T04:57:59"/>
    <s v="01:08:00"/>
    <n v="98"/>
    <n v="0"/>
  </r>
  <r>
    <s v="Del_Emp_123 (1008782)"/>
    <x v="117"/>
    <d v="1899-12-30T08:37:00"/>
    <d v="1899-12-30T04:57:59"/>
    <s v="01:08:00"/>
    <n v="98"/>
    <n v="0"/>
  </r>
  <r>
    <s v="Del_Emp_124 (1008783)"/>
    <x v="118"/>
    <d v="1899-12-30T09:40:00"/>
    <d v="1899-12-30T04:57:59"/>
    <s v="01:08:00"/>
    <n v="98"/>
    <n v="0"/>
  </r>
  <r>
    <s v="Del_Emp_125 (1008784)"/>
    <x v="119"/>
    <d v="1899-12-30T08:44:00"/>
    <d v="1899-12-30T04:57:59"/>
    <s v="01:08:00"/>
    <n v="98"/>
    <n v="0"/>
  </r>
  <r>
    <s v="Del_Emp_126 (1008785)"/>
    <x v="120"/>
    <d v="1899-12-30T07:41:00"/>
    <d v="1899-12-30T04:57:59"/>
    <s v="01:08:00"/>
    <n v="98"/>
    <n v="0"/>
  </r>
  <r>
    <s v="Del_Emp_127 (1008786)"/>
    <x v="121"/>
    <d v="1899-12-30T08:02:00"/>
    <d v="1899-12-30T04:57:59"/>
    <s v="01:08:00"/>
    <n v="98"/>
    <n v="0"/>
  </r>
  <r>
    <s v="Del_Emp_128 (1008787)"/>
    <x v="122"/>
    <d v="1899-12-30T07:46:00"/>
    <d v="1899-12-30T04:57:59"/>
    <s v="01:08:00"/>
    <n v="98"/>
    <n v="0"/>
  </r>
  <r>
    <s v="Del_Emp_129 (1008788)"/>
    <x v="123"/>
    <d v="1899-12-30T07:20:00"/>
    <d v="1899-12-30T04:57:59"/>
    <s v="01:08:00"/>
    <n v="98"/>
    <n v="0"/>
  </r>
  <r>
    <s v="Del_Emp_130 (1008789)"/>
    <x v="124"/>
    <d v="1899-12-30T08:07:00"/>
    <d v="1899-12-30T04:57:59"/>
    <s v="01:08:00"/>
    <n v="98"/>
    <n v="0"/>
  </r>
  <r>
    <s v="Del_Emp_131 (1008790)"/>
    <x v="125"/>
    <d v="1899-12-30T09:43:00"/>
    <d v="1899-12-30T04:57:59"/>
    <s v="01:08:00"/>
    <n v="98"/>
    <n v="0"/>
  </r>
  <r>
    <s v="Del_Emp_132 (1008791)"/>
    <x v="126"/>
    <d v="1899-12-30T08:22:00"/>
    <d v="1899-12-30T04:57:59"/>
    <s v="01:08:00"/>
    <n v="98"/>
    <n v="0"/>
  </r>
  <r>
    <s v="Del_Emp_133 (1008792)"/>
    <x v="127"/>
    <d v="1899-12-30T09:33:00"/>
    <d v="1899-12-30T04:57:59"/>
    <s v="01:08:00"/>
    <n v="98"/>
    <n v="0"/>
  </r>
  <r>
    <s v="Del_Emp_134 (1008793)"/>
    <x v="128"/>
    <d v="1899-12-30T07:24:00"/>
    <d v="1899-12-30T04:57:59"/>
    <s v="01:08:00"/>
    <n v="98"/>
    <n v="0"/>
  </r>
  <r>
    <s v="Del_Emp_135 (1008794)"/>
    <x v="129"/>
    <d v="1899-12-30T07:19:00"/>
    <d v="1899-12-30T04:57:59"/>
    <s v="01:08:00"/>
    <n v="98"/>
    <n v="0"/>
  </r>
  <r>
    <s v="Del_Emp_136 (1008795)"/>
    <x v="130"/>
    <d v="1899-12-30T06:30:00"/>
    <d v="1899-12-30T04:57:59"/>
    <s v="01:08:00"/>
    <n v="98"/>
    <n v="0"/>
  </r>
  <r>
    <s v="Del_Emp_137 (1008796)"/>
    <x v="131"/>
    <d v="1899-12-30T09:20:00"/>
    <d v="1899-12-30T04:57:59"/>
    <s v="01:08:00"/>
    <n v="98"/>
    <n v="0"/>
  </r>
  <r>
    <s v="Del_Emp_138 (1008797)"/>
    <x v="132"/>
    <d v="1899-12-30T08:59:00"/>
    <d v="1899-12-30T04:57:59"/>
    <s v="01:08:00"/>
    <n v="98"/>
    <n v="0"/>
  </r>
  <r>
    <s v="Del_Emp_139 (1008798)"/>
    <x v="133"/>
    <d v="1899-12-30T06:51:00"/>
    <d v="1899-12-30T04:57:59"/>
    <s v="01:08:00"/>
    <n v="98"/>
    <n v="0"/>
  </r>
  <r>
    <s v="Del_Emp_140 (1008799)"/>
    <x v="134"/>
    <d v="1899-12-30T06:50:00"/>
    <d v="1899-12-30T04:57:59"/>
    <s v="01:08:00"/>
    <n v="98"/>
    <n v="0"/>
  </r>
  <r>
    <s v="Del_Emp_141 (1008800)"/>
    <x v="135"/>
    <d v="1899-12-30T09:13:00"/>
    <d v="1899-12-30T04:57:59"/>
    <s v="01:08:00"/>
    <n v="98"/>
    <n v="0"/>
  </r>
  <r>
    <s v="Del_Emp_142 (1008801)"/>
    <x v="136"/>
    <d v="1899-12-30T08:05:00"/>
    <d v="1899-12-30T04:57:59"/>
    <s v="01:08:00"/>
    <n v="98"/>
    <n v="0"/>
  </r>
  <r>
    <s v="Del_Emp_143 (1008802)"/>
    <x v="137"/>
    <d v="1899-12-30T08:33:00"/>
    <d v="1899-12-30T04:57:59"/>
    <s v="01:08:00"/>
    <n v="98"/>
    <n v="0"/>
  </r>
  <r>
    <s v="Del_Emp_144 (1008803)"/>
    <x v="138"/>
    <d v="1899-12-30T07:26:00"/>
    <d v="1899-12-30T04:57:59"/>
    <s v="01:08:00"/>
    <n v="98"/>
    <n v="0"/>
  </r>
  <r>
    <s v="Del_Emp_145 (1008804)"/>
    <x v="139"/>
    <d v="1899-12-30T09:46:00"/>
    <d v="1899-12-30T04:57:59"/>
    <s v="01:08:00"/>
    <n v="98"/>
    <n v="0"/>
  </r>
  <r>
    <s v="Del_Emp_146 (1008805)"/>
    <x v="140"/>
    <d v="1899-12-30T07:22:00"/>
    <d v="1899-12-30T04:57:59"/>
    <s v="01:08:00"/>
    <n v="98"/>
    <n v="0"/>
  </r>
  <r>
    <s v="Del_Emp_147 (1008806)"/>
    <x v="141"/>
    <d v="1899-12-30T09:16:00"/>
    <d v="1899-12-30T04:57:59"/>
    <s v="01:08:00"/>
    <n v="98"/>
    <n v="0"/>
  </r>
  <r>
    <s v="Del_Emp_148 (1008807)"/>
    <x v="142"/>
    <d v="1899-12-30T08:44:00"/>
    <d v="1899-12-30T04:57:59"/>
    <s v="01:08:00"/>
    <n v="98"/>
    <n v="0"/>
  </r>
  <r>
    <s v="Del_Emp_149 (1008808)"/>
    <x v="143"/>
    <d v="1899-12-30T07:21:00"/>
    <d v="1899-12-30T04:57:59"/>
    <s v="01:08:00"/>
    <n v="98"/>
    <n v="0"/>
  </r>
  <r>
    <s v="Del_Emp_150 (1008809)"/>
    <x v="144"/>
    <d v="1899-12-30T08:06:00"/>
    <d v="1899-12-30T04:57:59"/>
    <s v="01:08:00"/>
    <n v="9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8F41E-D3B8-4970-9E10-76891921FC5C}" name="PivotTable3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30">
  <location ref="G4:H9" firstHeaderRow="1" firstDataRow="1" firstDataCol="1"/>
  <pivotFields count="7">
    <pivotField showAll="0"/>
    <pivotField axis="axisRow" showAll="0" measureFilter="1">
      <items count="1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40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numFmtId="164" showAll="0"/>
    <pivotField numFmtId="164" showAll="0"/>
    <pivotField showAll="0"/>
    <pivotField showAll="0"/>
    <pivotField dataField="1" numFmtId="9" showAll="0"/>
  </pivotFields>
  <rowFields count="1">
    <field x="1"/>
  </rowFields>
  <rowItems count="5">
    <i>
      <x v="2"/>
    </i>
    <i>
      <x v="6"/>
    </i>
    <i>
      <x v="7"/>
    </i>
    <i>
      <x v="13"/>
    </i>
    <i>
      <x v="14"/>
    </i>
  </rowItems>
  <colItems count="1">
    <i/>
  </colItems>
  <dataFields count="1">
    <dataField name="percentage Active with Cust" fld="6" baseField="1" baseItem="2" numFmtId="10"/>
  </dataFields>
  <chartFormats count="1">
    <chartFormat chart="2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1FDFC8-1AF4-4C1D-BD1E-F195A035211F}" name="PivotTable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3">
  <location ref="D4:E10" firstHeaderRow="1" firstDataRow="1" firstDataCol="1"/>
  <pivotFields count="7">
    <pivotField showAll="0"/>
    <pivotField axis="axisRow" showAll="0" measureFilter="1">
      <items count="1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40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numFmtId="164" showAll="0"/>
    <pivotField numFmtId="164" showAll="0"/>
    <pivotField showAll="0"/>
    <pivotField showAll="0"/>
    <pivotField dataField="1" numFmtId="9" showAll="0"/>
  </pivotFields>
  <rowFields count="1">
    <field x="1"/>
  </rowFields>
  <rowItems count="6">
    <i>
      <x v="2"/>
    </i>
    <i>
      <x v="5"/>
    </i>
    <i>
      <x v="6"/>
    </i>
    <i>
      <x v="7"/>
    </i>
    <i>
      <x v="13"/>
    </i>
    <i>
      <x v="14"/>
    </i>
  </rowItems>
  <colItems count="1">
    <i/>
  </colItems>
  <dataFields count="1">
    <dataField name="Sum of active with cust" fld="6" baseField="1" baseItem="0" numFmtId="10"/>
  </dataFields>
  <chartFormats count="8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62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BA405-28E0-4661-8692-2E355B00AA08}" name="PivotTable1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40"/>
        <item x="39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t="default"/>
      </items>
    </pivotField>
    <pivotField dataField="1" numFmtId="164" showAll="0"/>
    <pivotField numFmtId="164" showAll="0"/>
    <pivotField showAll="0"/>
    <pivotField showAll="0"/>
    <pivotField numFmtId="9" showAll="0"/>
  </pivotFields>
  <rowFields count="1">
    <field x="1"/>
  </rowFields>
  <rowItems count="5">
    <i>
      <x v="15"/>
    </i>
    <i>
      <x v="36"/>
    </i>
    <i>
      <x v="113"/>
    </i>
    <i>
      <x v="130"/>
    </i>
    <i>
      <x v="144"/>
    </i>
  </rowItems>
  <colItems count="1">
    <i/>
  </colItems>
  <dataFields count="1">
    <dataField name="emp total no. of working hours " fld="2" baseField="1" baseItem="0" numFmtId="164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2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B3A17E9-B07E-420B-9584-CD0C640C0F94}" autoFormatId="16" applyNumberFormats="0" applyBorderFormats="0" applyFontFormats="0" applyPatternFormats="0" applyAlignmentFormats="0" applyWidthHeightFormats="0">
  <queryTableRefresh nextId="11">
    <queryTableFields count="10">
      <queryTableField id="1" name="Employee" tableColumnId="1"/>
      <queryTableField id="2" name="Attended Calls" tableColumnId="2"/>
      <queryTableField id="3" name="Transferred calls" tableColumnId="3"/>
      <queryTableField id="4" name="Call Conferenced" tableColumnId="4"/>
      <queryTableField id="5" name="Call Redirected" tableColumnId="5"/>
      <queryTableField id="6" name="Hold Calls" tableColumnId="6"/>
      <queryTableField id="7" name="% of Calls onHold" tableColumnId="7"/>
      <queryTableField id="8" name="Average Duration of Calls" tableColumnId="8"/>
      <queryTableField id="9" name="Avg. In Focus Hold Calls" tableColumnId="9"/>
      <queryTableField id="10" name="Calls Unattend Time'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AC9F03-B8DD-4BD6-B444-C6C3B4DF794F}" name="Table2" displayName="Table2" ref="A1:Q151" totalsRowShown="0" headerRowDxfId="22" dataDxfId="21">
  <autoFilter ref="A1:Q151" xr:uid="{B95BE9DC-F24F-4225-9F8A-5DAE2283EF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9F727E2C-8DD9-435A-83B2-499FE2DE0B27}" name="employee" dataDxfId="20"/>
    <tableColumn id="2" xr3:uid="{A1EC9042-D3CB-480A-AE15-10035183C2E0}" name="Total Working Hours" dataDxfId="19">
      <calculatedColumnFormula>TIME(RANDBETWEEN(6,9), RANDBETWEEN(0,59), 0)</calculatedColumnFormula>
    </tableColumn>
    <tableColumn id="3" xr3:uid="{92940F5F-9DF0-4659-BCA8-9AC40C23F24B}" name="Work Efficiency" dataDxfId="18"/>
    <tableColumn id="4" xr3:uid="{331C2480-5BFA-4BBE-8295-FF700DF53B71}" name="Attended Calls" dataDxfId="17"/>
    <tableColumn id="5" xr3:uid="{BF25C50E-B203-4467-BC67-E474EF9C2EBE}" name="Efficiency in Percentage" dataDxfId="16"/>
    <tableColumn id="6" xr3:uid="{7892D13F-F092-4307-AE1D-E71E20E6E5A5}" name="Active With Cust." dataDxfId="15"/>
    <tableColumn id="7" xr3:uid="{F6853801-BF9F-4E7D-8D9E-26E94EAA6035}" name="Active Time" dataDxfId="14"/>
    <tableColumn id="8" xr3:uid="{F61AE052-A914-47D3-A74F-53F192C795A2}" name="Other" dataDxfId="13"/>
    <tableColumn id="9" xr3:uid="{6671E512-B46F-4170-B13F-B55202B9D69B}" name="Not Working %" dataDxfId="12"/>
    <tableColumn id="10" xr3:uid="{D7F1813C-367C-4514-9BE3-5AA5AD84EFD7}" name="Call Keeping" dataDxfId="11"/>
    <tableColumn id="11" xr3:uid="{85FC70DC-3423-4275-BB6A-92BCBE5CCFC0}" name="Break During Calls" dataDxfId="10"/>
    <tableColumn id="12" xr3:uid="{8BF50498-9C09-4617-AA07-03E128C2B94D}" name="Non Break %" dataDxfId="9"/>
    <tableColumn id="13" xr3:uid="{64D0CA61-ECCD-4ACB-A17B-B3CEF4404971}" name="Other Work %" dataDxfId="8"/>
    <tableColumn id="14" xr3:uid="{92F9DEC2-ADFA-4836-84E7-BF718823043C}" name="Long Time" dataDxfId="7"/>
    <tableColumn id="15" xr3:uid="{018C6CB4-393D-4EA4-9A89-9CEE097809CF}" name="Short Time Holds" dataDxfId="6"/>
    <tableColumn id="16" xr3:uid="{5681D355-476F-4B3D-9F8E-9E77A65D55BA}" name="Long Call Holds" dataDxfId="5"/>
    <tableColumn id="17" xr3:uid="{F398B9B8-3115-4776-BFAB-96E9C08DB471}" name="No Hold" dataDxfId="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445976-8228-4100-89D2-78B165076794}" name="Sheet1__2" displayName="Sheet1__2" ref="A1:J151" tableType="queryTable" totalsRowShown="0">
  <autoFilter ref="A1:J151" xr:uid="{E70F5D83-ADCE-4265-8CF8-8F29E42364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CB66761D-C6F3-4817-9905-7C4F845E4FC9}" uniqueName="1" name="Employee" queryTableFieldId="1" dataDxfId="3"/>
    <tableColumn id="2" xr3:uid="{31D9582D-2AAB-4CE5-9A2D-12EE2B9CF642}" uniqueName="2" name="Attended Calls" queryTableFieldId="2"/>
    <tableColumn id="3" xr3:uid="{E444C405-EA79-4C92-BEA1-D4FAE1D0B9D2}" uniqueName="3" name="Transferred calls" queryTableFieldId="3"/>
    <tableColumn id="4" xr3:uid="{15CEB2BA-348B-48DF-9F41-69063450C834}" uniqueName="4" name="Call Conferenced" queryTableFieldId="4"/>
    <tableColumn id="5" xr3:uid="{30008903-F149-430C-859A-B1E04672E14B}" uniqueName="5" name="Call Redirected" queryTableFieldId="5"/>
    <tableColumn id="6" xr3:uid="{B8F48201-AABF-49B1-BA89-F62082E6ED53}" uniqueName="6" name="Hold Calls" queryTableFieldId="6"/>
    <tableColumn id="7" xr3:uid="{9E08C246-49C2-4042-8EF0-93C59C0A6BFF}" uniqueName="7" name="% of Calls onHold" queryTableFieldId="7"/>
    <tableColumn id="8" xr3:uid="{D0DE7B39-E9D2-438D-B188-FFC0EE0FD32A}" uniqueName="8" name="Average Duration of Calls" queryTableFieldId="8" dataDxfId="2"/>
    <tableColumn id="9" xr3:uid="{6DAC047C-CCE5-4917-9018-8A2664EE040B}" uniqueName="9" name="Avg. In Focus Hold Calls" queryTableFieldId="9" dataDxfId="1"/>
    <tableColumn id="10" xr3:uid="{08DA273D-F322-4E3E-BC5F-C0A75F9F1F57}" uniqueName="10" name="Calls Unattend Time'" queryTableFieldId="10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tIns="0" rtlCol="0" anchor="ctr"/>
      <a:lstStyle>
        <a:defPPr marL="0" indent="0" algn="ctr">
          <a:defRPr sz="1800" b="0" i="0" u="none" strike="noStrike" cap="none" spc="0">
            <a:ln w="0"/>
            <a:solidFill>
              <a:srgbClr val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 Condensed" panose="020B0502040204020203" pitchFamily="34" charset="0"/>
            <a:ea typeface="Calibri"/>
            <a:cs typeface="Calibri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1"/>
  <sheetViews>
    <sheetView workbookViewId="0">
      <selection activeCell="A21" sqref="A21"/>
    </sheetView>
  </sheetViews>
  <sheetFormatPr defaultRowHeight="14.5" x14ac:dyDescent="0.35"/>
  <cols>
    <col min="1" max="1" width="33.08984375" bestFit="1" customWidth="1"/>
    <col min="2" max="2" width="10" customWidth="1"/>
    <col min="3" max="3" width="14" customWidth="1"/>
    <col min="4" max="6" width="10" customWidth="1"/>
    <col min="7" max="7" width="16" customWidth="1"/>
    <col min="8" max="8" width="12" customWidth="1"/>
    <col min="9" max="9" width="19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 t="s">
        <v>12</v>
      </c>
      <c r="H2" s="2" t="s">
        <v>12</v>
      </c>
      <c r="I2" s="2" t="s">
        <v>13</v>
      </c>
    </row>
    <row r="3" spans="1:9" x14ac:dyDescent="0.35">
      <c r="A3" t="s">
        <v>14</v>
      </c>
      <c r="B3" t="s">
        <v>10</v>
      </c>
      <c r="C3" t="s">
        <v>11</v>
      </c>
      <c r="D3" t="s">
        <v>12</v>
      </c>
      <c r="E3" t="s">
        <v>12</v>
      </c>
      <c r="F3" t="s">
        <v>12</v>
      </c>
      <c r="G3" t="s">
        <v>12</v>
      </c>
      <c r="H3" t="s">
        <v>12</v>
      </c>
      <c r="I3" t="s">
        <v>13</v>
      </c>
    </row>
    <row r="4" spans="1:9" x14ac:dyDescent="0.35">
      <c r="A4" s="2" t="s">
        <v>15</v>
      </c>
      <c r="B4" s="2" t="s">
        <v>10</v>
      </c>
      <c r="C4" s="2" t="s">
        <v>11</v>
      </c>
      <c r="D4" s="2" t="s">
        <v>12</v>
      </c>
      <c r="E4" s="2" t="s">
        <v>12</v>
      </c>
      <c r="F4" s="2" t="s">
        <v>12</v>
      </c>
      <c r="G4" s="2" t="s">
        <v>12</v>
      </c>
      <c r="H4" s="2" t="s">
        <v>12</v>
      </c>
      <c r="I4" s="2" t="s">
        <v>13</v>
      </c>
    </row>
    <row r="5" spans="1:9" x14ac:dyDescent="0.35">
      <c r="A5" t="s">
        <v>16</v>
      </c>
      <c r="B5" t="s">
        <v>10</v>
      </c>
      <c r="C5" t="s">
        <v>11</v>
      </c>
      <c r="D5" t="s">
        <v>12</v>
      </c>
      <c r="E5" t="s">
        <v>12</v>
      </c>
      <c r="F5" t="s">
        <v>12</v>
      </c>
      <c r="G5" t="s">
        <v>12</v>
      </c>
      <c r="H5" t="s">
        <v>12</v>
      </c>
      <c r="I5" t="s">
        <v>13</v>
      </c>
    </row>
    <row r="6" spans="1:9" x14ac:dyDescent="0.35">
      <c r="A6" s="2" t="s">
        <v>17</v>
      </c>
      <c r="B6" s="2" t="s">
        <v>10</v>
      </c>
      <c r="C6" s="3">
        <v>2.013888888888889E-2</v>
      </c>
      <c r="D6" s="2" t="s">
        <v>12</v>
      </c>
      <c r="E6" s="2" t="s">
        <v>12</v>
      </c>
      <c r="F6" s="2" t="s">
        <v>12</v>
      </c>
      <c r="G6" s="2" t="s">
        <v>12</v>
      </c>
      <c r="H6" s="2" t="s">
        <v>12</v>
      </c>
      <c r="I6" s="2" t="s">
        <v>13</v>
      </c>
    </row>
    <row r="7" spans="1:9" x14ac:dyDescent="0.35">
      <c r="A7" t="s">
        <v>18</v>
      </c>
      <c r="B7" t="s">
        <v>10</v>
      </c>
      <c r="C7" t="s">
        <v>11</v>
      </c>
      <c r="D7" t="s">
        <v>12</v>
      </c>
      <c r="E7" t="s">
        <v>12</v>
      </c>
      <c r="F7" t="s">
        <v>12</v>
      </c>
      <c r="G7" t="s">
        <v>12</v>
      </c>
      <c r="H7" t="s">
        <v>12</v>
      </c>
      <c r="I7" t="s">
        <v>13</v>
      </c>
    </row>
    <row r="8" spans="1:9" x14ac:dyDescent="0.35">
      <c r="A8" s="2" t="s">
        <v>19</v>
      </c>
      <c r="B8" s="2" t="s">
        <v>10</v>
      </c>
      <c r="C8" s="2" t="s">
        <v>11</v>
      </c>
      <c r="D8" s="2" t="s">
        <v>12</v>
      </c>
      <c r="E8" s="2" t="s">
        <v>12</v>
      </c>
      <c r="F8" s="2" t="s">
        <v>12</v>
      </c>
      <c r="G8" s="2" t="s">
        <v>12</v>
      </c>
      <c r="H8" s="2" t="s">
        <v>12</v>
      </c>
      <c r="I8" s="2" t="s">
        <v>13</v>
      </c>
    </row>
    <row r="9" spans="1:9" x14ac:dyDescent="0.35">
      <c r="A9" t="s">
        <v>20</v>
      </c>
      <c r="B9" t="s">
        <v>10</v>
      </c>
      <c r="C9" t="s">
        <v>11</v>
      </c>
      <c r="D9" t="s">
        <v>12</v>
      </c>
      <c r="E9" t="s">
        <v>12</v>
      </c>
      <c r="F9" t="s">
        <v>12</v>
      </c>
      <c r="G9" t="s">
        <v>12</v>
      </c>
      <c r="H9" t="s">
        <v>12</v>
      </c>
      <c r="I9" t="s">
        <v>13</v>
      </c>
    </row>
    <row r="10" spans="1:9" x14ac:dyDescent="0.35">
      <c r="A10" s="2" t="s">
        <v>21</v>
      </c>
      <c r="B10" s="2" t="s">
        <v>10</v>
      </c>
      <c r="C10" s="2" t="s">
        <v>11</v>
      </c>
      <c r="D10" s="2" t="s">
        <v>12</v>
      </c>
      <c r="E10" s="2" t="s">
        <v>12</v>
      </c>
      <c r="F10" s="2" t="s">
        <v>12</v>
      </c>
      <c r="G10" s="2" t="s">
        <v>12</v>
      </c>
      <c r="H10" s="2" t="s">
        <v>12</v>
      </c>
      <c r="I10" s="2" t="s">
        <v>13</v>
      </c>
    </row>
    <row r="11" spans="1:9" x14ac:dyDescent="0.35">
      <c r="A11" t="s">
        <v>22</v>
      </c>
      <c r="B11" t="s">
        <v>10</v>
      </c>
      <c r="C11" t="s">
        <v>11</v>
      </c>
      <c r="D11" t="s">
        <v>12</v>
      </c>
      <c r="E11" t="s">
        <v>12</v>
      </c>
      <c r="F11" t="s">
        <v>12</v>
      </c>
      <c r="G11" t="s">
        <v>12</v>
      </c>
      <c r="H11" t="s">
        <v>12</v>
      </c>
      <c r="I11" t="s">
        <v>13</v>
      </c>
    </row>
    <row r="12" spans="1:9" x14ac:dyDescent="0.35">
      <c r="A12" s="2" t="s">
        <v>23</v>
      </c>
      <c r="B12" s="2" t="s">
        <v>10</v>
      </c>
      <c r="C12" s="2" t="s">
        <v>11</v>
      </c>
      <c r="D12" s="2" t="s">
        <v>12</v>
      </c>
      <c r="E12" s="2" t="s">
        <v>12</v>
      </c>
      <c r="F12" s="2" t="s">
        <v>12</v>
      </c>
      <c r="G12" s="2" t="s">
        <v>12</v>
      </c>
      <c r="H12" s="2" t="s">
        <v>12</v>
      </c>
      <c r="I12" s="2" t="s">
        <v>13</v>
      </c>
    </row>
    <row r="13" spans="1:9" x14ac:dyDescent="0.35">
      <c r="A13" t="s">
        <v>24</v>
      </c>
      <c r="B13" t="s">
        <v>10</v>
      </c>
      <c r="C13" t="s">
        <v>11</v>
      </c>
      <c r="D13" t="s">
        <v>12</v>
      </c>
      <c r="E13" t="s">
        <v>12</v>
      </c>
      <c r="F13" t="s">
        <v>12</v>
      </c>
      <c r="G13" t="s">
        <v>12</v>
      </c>
      <c r="H13" t="s">
        <v>12</v>
      </c>
      <c r="I13" t="s">
        <v>13</v>
      </c>
    </row>
    <row r="14" spans="1:9" x14ac:dyDescent="0.35">
      <c r="A14" s="2" t="s">
        <v>25</v>
      </c>
      <c r="B14" s="2" t="s">
        <v>10</v>
      </c>
      <c r="C14" s="2" t="s">
        <v>11</v>
      </c>
      <c r="D14" s="2" t="s">
        <v>12</v>
      </c>
      <c r="E14" s="2" t="s">
        <v>12</v>
      </c>
      <c r="F14" s="2" t="s">
        <v>12</v>
      </c>
      <c r="G14" s="2" t="s">
        <v>12</v>
      </c>
      <c r="H14" s="2" t="s">
        <v>12</v>
      </c>
      <c r="I14" s="2" t="s">
        <v>13</v>
      </c>
    </row>
    <row r="15" spans="1:9" x14ac:dyDescent="0.35">
      <c r="A15" t="s">
        <v>26</v>
      </c>
      <c r="B15" t="s">
        <v>10</v>
      </c>
      <c r="C15" t="s">
        <v>11</v>
      </c>
      <c r="D15" t="s">
        <v>12</v>
      </c>
      <c r="E15" t="s">
        <v>12</v>
      </c>
      <c r="F15" t="s">
        <v>12</v>
      </c>
      <c r="G15" t="s">
        <v>12</v>
      </c>
      <c r="H15" t="s">
        <v>12</v>
      </c>
      <c r="I15" t="s">
        <v>13</v>
      </c>
    </row>
    <row r="16" spans="1:9" x14ac:dyDescent="0.35">
      <c r="A16" s="2" t="s">
        <v>27</v>
      </c>
      <c r="B16" s="2" t="s">
        <v>10</v>
      </c>
      <c r="C16" s="2" t="s">
        <v>11</v>
      </c>
      <c r="D16" s="2" t="s">
        <v>12</v>
      </c>
      <c r="E16" s="2" t="s">
        <v>12</v>
      </c>
      <c r="F16" s="2" t="s">
        <v>12</v>
      </c>
      <c r="G16" s="2" t="s">
        <v>12</v>
      </c>
      <c r="H16" s="2" t="s">
        <v>12</v>
      </c>
      <c r="I16" s="2" t="s">
        <v>13</v>
      </c>
    </row>
    <row r="17" spans="1:9" x14ac:dyDescent="0.35">
      <c r="A17" t="s">
        <v>28</v>
      </c>
      <c r="B17" t="s">
        <v>10</v>
      </c>
      <c r="C17" t="s">
        <v>11</v>
      </c>
      <c r="D17" t="s">
        <v>12</v>
      </c>
      <c r="E17" t="s">
        <v>12</v>
      </c>
      <c r="F17" t="s">
        <v>12</v>
      </c>
      <c r="G17" t="s">
        <v>12</v>
      </c>
      <c r="H17" t="s">
        <v>12</v>
      </c>
      <c r="I17" t="s">
        <v>13</v>
      </c>
    </row>
    <row r="18" spans="1:9" x14ac:dyDescent="0.35">
      <c r="A18" s="2" t="s">
        <v>29</v>
      </c>
      <c r="B18" s="2" t="s">
        <v>10</v>
      </c>
      <c r="C18" s="2" t="s">
        <v>11</v>
      </c>
      <c r="D18" s="2" t="s">
        <v>12</v>
      </c>
      <c r="E18" s="2" t="s">
        <v>12</v>
      </c>
      <c r="F18" s="2" t="s">
        <v>12</v>
      </c>
      <c r="G18" s="2" t="s">
        <v>12</v>
      </c>
      <c r="H18" s="2" t="s">
        <v>12</v>
      </c>
      <c r="I18" s="2" t="s">
        <v>13</v>
      </c>
    </row>
    <row r="19" spans="1:9" x14ac:dyDescent="0.35">
      <c r="A19" t="s">
        <v>30</v>
      </c>
      <c r="B19" t="s">
        <v>10</v>
      </c>
      <c r="C19" t="s">
        <v>11</v>
      </c>
      <c r="D19" t="s">
        <v>12</v>
      </c>
      <c r="E19" t="s">
        <v>12</v>
      </c>
      <c r="F19" t="s">
        <v>12</v>
      </c>
      <c r="G19" t="s">
        <v>12</v>
      </c>
      <c r="H19" t="s">
        <v>12</v>
      </c>
      <c r="I19" t="s">
        <v>13</v>
      </c>
    </row>
    <row r="20" spans="1:9" x14ac:dyDescent="0.35">
      <c r="A20" s="2" t="s">
        <v>31</v>
      </c>
      <c r="B20" s="2" t="s">
        <v>10</v>
      </c>
      <c r="C20" s="2" t="s">
        <v>11</v>
      </c>
      <c r="D20" s="2" t="s">
        <v>12</v>
      </c>
      <c r="E20" s="2" t="s">
        <v>12</v>
      </c>
      <c r="F20" s="2" t="s">
        <v>12</v>
      </c>
      <c r="G20" s="2" t="s">
        <v>12</v>
      </c>
      <c r="H20" s="2" t="s">
        <v>12</v>
      </c>
      <c r="I20" s="2" t="s">
        <v>13</v>
      </c>
    </row>
    <row r="21" spans="1:9" x14ac:dyDescent="0.35">
      <c r="A21" t="s">
        <v>32</v>
      </c>
      <c r="B21" t="s">
        <v>10</v>
      </c>
      <c r="C21" t="s">
        <v>11</v>
      </c>
      <c r="D21" t="s">
        <v>12</v>
      </c>
      <c r="E21" t="s">
        <v>12</v>
      </c>
      <c r="F21" t="s">
        <v>12</v>
      </c>
      <c r="G21" t="s">
        <v>12</v>
      </c>
      <c r="H21" t="s">
        <v>12</v>
      </c>
      <c r="I21" t="s">
        <v>13</v>
      </c>
    </row>
    <row r="22" spans="1:9" x14ac:dyDescent="0.35">
      <c r="A22" s="2" t="s">
        <v>33</v>
      </c>
      <c r="B22" s="2" t="s">
        <v>10</v>
      </c>
      <c r="C22" s="2" t="s">
        <v>11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  <c r="I22" s="2" t="s">
        <v>13</v>
      </c>
    </row>
    <row r="23" spans="1:9" x14ac:dyDescent="0.35">
      <c r="A23" t="s">
        <v>34</v>
      </c>
      <c r="B23" t="s">
        <v>10</v>
      </c>
      <c r="C23" t="s">
        <v>11</v>
      </c>
      <c r="D23" t="s">
        <v>12</v>
      </c>
      <c r="E23" t="s">
        <v>12</v>
      </c>
      <c r="F23" t="s">
        <v>12</v>
      </c>
      <c r="G23" t="s">
        <v>12</v>
      </c>
      <c r="H23" t="s">
        <v>12</v>
      </c>
      <c r="I23" t="s">
        <v>13</v>
      </c>
    </row>
    <row r="24" spans="1:9" x14ac:dyDescent="0.35">
      <c r="A24" s="2" t="s">
        <v>35</v>
      </c>
      <c r="B24" s="2" t="s">
        <v>10</v>
      </c>
      <c r="C24" s="2" t="s">
        <v>11</v>
      </c>
      <c r="D24" s="2" t="s">
        <v>12</v>
      </c>
      <c r="E24" s="2" t="s">
        <v>12</v>
      </c>
      <c r="F24" s="2" t="s">
        <v>12</v>
      </c>
      <c r="G24" s="2" t="s">
        <v>12</v>
      </c>
      <c r="H24" s="2" t="s">
        <v>12</v>
      </c>
      <c r="I24" s="2" t="s">
        <v>13</v>
      </c>
    </row>
    <row r="25" spans="1:9" x14ac:dyDescent="0.35">
      <c r="A25" t="s">
        <v>36</v>
      </c>
      <c r="B25" t="s">
        <v>10</v>
      </c>
      <c r="C25" t="s">
        <v>11</v>
      </c>
      <c r="D25" t="s">
        <v>12</v>
      </c>
      <c r="E25" t="s">
        <v>12</v>
      </c>
      <c r="F25" t="s">
        <v>12</v>
      </c>
      <c r="G25" t="s">
        <v>12</v>
      </c>
      <c r="H25" t="s">
        <v>12</v>
      </c>
      <c r="I25" t="s">
        <v>13</v>
      </c>
    </row>
    <row r="26" spans="1:9" x14ac:dyDescent="0.35">
      <c r="A26" s="2" t="s">
        <v>37</v>
      </c>
      <c r="B26" s="2" t="s">
        <v>10</v>
      </c>
      <c r="C26" s="2" t="s">
        <v>11</v>
      </c>
      <c r="D26" s="2" t="s">
        <v>12</v>
      </c>
      <c r="E26" s="2" t="s">
        <v>12</v>
      </c>
      <c r="F26" s="2" t="s">
        <v>12</v>
      </c>
      <c r="G26" s="2" t="s">
        <v>12</v>
      </c>
      <c r="H26" s="2" t="s">
        <v>12</v>
      </c>
      <c r="I26" s="2" t="s">
        <v>13</v>
      </c>
    </row>
    <row r="27" spans="1:9" x14ac:dyDescent="0.35">
      <c r="A27" t="s">
        <v>38</v>
      </c>
      <c r="B27" t="s">
        <v>10</v>
      </c>
      <c r="C27" t="s">
        <v>11</v>
      </c>
      <c r="D27" t="s">
        <v>12</v>
      </c>
      <c r="E27" t="s">
        <v>12</v>
      </c>
      <c r="F27" t="s">
        <v>12</v>
      </c>
      <c r="G27" t="s">
        <v>12</v>
      </c>
      <c r="H27" t="s">
        <v>12</v>
      </c>
      <c r="I27" t="s">
        <v>13</v>
      </c>
    </row>
    <row r="28" spans="1:9" x14ac:dyDescent="0.35">
      <c r="A28" s="2" t="s">
        <v>39</v>
      </c>
      <c r="B28" s="2" t="s">
        <v>10</v>
      </c>
      <c r="C28" s="2" t="s">
        <v>11</v>
      </c>
      <c r="D28" s="2" t="s">
        <v>12</v>
      </c>
      <c r="E28" s="2" t="s">
        <v>12</v>
      </c>
      <c r="F28" s="2" t="s">
        <v>12</v>
      </c>
      <c r="G28" s="2" t="s">
        <v>12</v>
      </c>
      <c r="H28" s="2" t="s">
        <v>12</v>
      </c>
      <c r="I28" s="2" t="s">
        <v>13</v>
      </c>
    </row>
    <row r="29" spans="1:9" x14ac:dyDescent="0.35">
      <c r="A29" t="s">
        <v>40</v>
      </c>
      <c r="B29" t="s">
        <v>10</v>
      </c>
      <c r="C29" t="s">
        <v>11</v>
      </c>
      <c r="D29" t="s">
        <v>12</v>
      </c>
      <c r="E29" t="s">
        <v>12</v>
      </c>
      <c r="F29" t="s">
        <v>12</v>
      </c>
      <c r="G29" t="s">
        <v>12</v>
      </c>
      <c r="H29" t="s">
        <v>12</v>
      </c>
      <c r="I29" t="s">
        <v>13</v>
      </c>
    </row>
    <row r="30" spans="1:9" x14ac:dyDescent="0.35">
      <c r="A30" s="2" t="s">
        <v>41</v>
      </c>
      <c r="B30" s="2" t="s">
        <v>10</v>
      </c>
      <c r="C30" s="2" t="s">
        <v>11</v>
      </c>
      <c r="D30" s="2" t="s">
        <v>12</v>
      </c>
      <c r="E30" s="2" t="s">
        <v>12</v>
      </c>
      <c r="F30" s="2" t="s">
        <v>12</v>
      </c>
      <c r="G30" s="2" t="s">
        <v>12</v>
      </c>
      <c r="H30" s="2" t="s">
        <v>12</v>
      </c>
      <c r="I30" s="2" t="s">
        <v>13</v>
      </c>
    </row>
    <row r="31" spans="1:9" x14ac:dyDescent="0.35">
      <c r="A31" t="s">
        <v>42</v>
      </c>
      <c r="B31" t="s">
        <v>10</v>
      </c>
      <c r="C31" t="s">
        <v>11</v>
      </c>
      <c r="D31" t="s">
        <v>12</v>
      </c>
      <c r="E31" t="s">
        <v>12</v>
      </c>
      <c r="F31" t="s">
        <v>12</v>
      </c>
      <c r="G31" t="s">
        <v>12</v>
      </c>
      <c r="H31" t="s">
        <v>12</v>
      </c>
      <c r="I31" t="s">
        <v>13</v>
      </c>
    </row>
    <row r="32" spans="1:9" x14ac:dyDescent="0.35">
      <c r="A32" s="2" t="s">
        <v>43</v>
      </c>
      <c r="B32" s="2" t="s">
        <v>10</v>
      </c>
      <c r="C32" s="2" t="s">
        <v>11</v>
      </c>
      <c r="D32" s="2" t="s">
        <v>12</v>
      </c>
      <c r="E32" s="2" t="s">
        <v>12</v>
      </c>
      <c r="F32" s="2" t="s">
        <v>12</v>
      </c>
      <c r="G32" s="2" t="s">
        <v>12</v>
      </c>
      <c r="H32" s="2" t="s">
        <v>12</v>
      </c>
      <c r="I32" s="2" t="s">
        <v>13</v>
      </c>
    </row>
    <row r="33" spans="1:9" x14ac:dyDescent="0.35">
      <c r="A33" t="s">
        <v>44</v>
      </c>
      <c r="B33" t="s">
        <v>10</v>
      </c>
      <c r="C33" t="s">
        <v>11</v>
      </c>
      <c r="D33" t="s">
        <v>12</v>
      </c>
      <c r="E33" t="s">
        <v>12</v>
      </c>
      <c r="F33" t="s">
        <v>12</v>
      </c>
      <c r="G33" t="s">
        <v>12</v>
      </c>
      <c r="H33" t="s">
        <v>12</v>
      </c>
      <c r="I33" t="s">
        <v>13</v>
      </c>
    </row>
    <row r="34" spans="1:9" x14ac:dyDescent="0.35">
      <c r="A34" s="2" t="s">
        <v>45</v>
      </c>
      <c r="B34" s="2" t="s">
        <v>10</v>
      </c>
      <c r="C34" s="2" t="s">
        <v>11</v>
      </c>
      <c r="D34" s="2" t="s">
        <v>12</v>
      </c>
      <c r="E34" s="2" t="s">
        <v>12</v>
      </c>
      <c r="F34" s="2" t="s">
        <v>12</v>
      </c>
      <c r="G34" s="2" t="s">
        <v>12</v>
      </c>
      <c r="H34" s="2" t="s">
        <v>12</v>
      </c>
      <c r="I34" s="2" t="s">
        <v>13</v>
      </c>
    </row>
    <row r="35" spans="1:9" x14ac:dyDescent="0.35">
      <c r="A35" t="s">
        <v>46</v>
      </c>
      <c r="B35" t="s">
        <v>10</v>
      </c>
      <c r="C35" t="s">
        <v>11</v>
      </c>
      <c r="D35" t="s">
        <v>12</v>
      </c>
      <c r="E35" t="s">
        <v>12</v>
      </c>
      <c r="F35" t="s">
        <v>12</v>
      </c>
      <c r="G35" t="s">
        <v>12</v>
      </c>
      <c r="H35" t="s">
        <v>12</v>
      </c>
      <c r="I35" t="s">
        <v>13</v>
      </c>
    </row>
    <row r="36" spans="1:9" x14ac:dyDescent="0.35">
      <c r="A36" s="2" t="s">
        <v>47</v>
      </c>
      <c r="B36" s="2" t="s">
        <v>10</v>
      </c>
      <c r="C36" s="2" t="s">
        <v>11</v>
      </c>
      <c r="D36" s="2" t="s">
        <v>12</v>
      </c>
      <c r="E36" s="2" t="s">
        <v>12</v>
      </c>
      <c r="F36" s="2" t="s">
        <v>12</v>
      </c>
      <c r="G36" s="2" t="s">
        <v>12</v>
      </c>
      <c r="H36" s="2" t="s">
        <v>12</v>
      </c>
      <c r="I36" s="2" t="s">
        <v>13</v>
      </c>
    </row>
    <row r="37" spans="1:9" x14ac:dyDescent="0.35">
      <c r="A37" t="s">
        <v>48</v>
      </c>
      <c r="B37" t="s">
        <v>10</v>
      </c>
      <c r="C37" t="s">
        <v>11</v>
      </c>
      <c r="D37" t="s">
        <v>12</v>
      </c>
      <c r="E37" t="s">
        <v>12</v>
      </c>
      <c r="F37" t="s">
        <v>12</v>
      </c>
      <c r="G37" t="s">
        <v>12</v>
      </c>
      <c r="H37" t="s">
        <v>12</v>
      </c>
      <c r="I37" t="s">
        <v>13</v>
      </c>
    </row>
    <row r="38" spans="1:9" x14ac:dyDescent="0.35">
      <c r="A38" s="2" t="s">
        <v>49</v>
      </c>
      <c r="B38" s="2" t="s">
        <v>10</v>
      </c>
      <c r="C38" s="2" t="s">
        <v>11</v>
      </c>
      <c r="D38" s="2" t="s">
        <v>12</v>
      </c>
      <c r="E38" s="2" t="s">
        <v>12</v>
      </c>
      <c r="F38" s="2" t="s">
        <v>12</v>
      </c>
      <c r="G38" s="2" t="s">
        <v>12</v>
      </c>
      <c r="H38" s="2" t="s">
        <v>12</v>
      </c>
      <c r="I38" s="2" t="s">
        <v>13</v>
      </c>
    </row>
    <row r="39" spans="1:9" x14ac:dyDescent="0.35">
      <c r="A39" t="s">
        <v>50</v>
      </c>
      <c r="B39" t="s">
        <v>10</v>
      </c>
      <c r="C39" t="s">
        <v>11</v>
      </c>
      <c r="D39" t="s">
        <v>12</v>
      </c>
      <c r="E39" t="s">
        <v>12</v>
      </c>
      <c r="F39" t="s">
        <v>12</v>
      </c>
      <c r="G39" t="s">
        <v>12</v>
      </c>
      <c r="H39" t="s">
        <v>12</v>
      </c>
      <c r="I39" t="s">
        <v>13</v>
      </c>
    </row>
    <row r="40" spans="1:9" x14ac:dyDescent="0.35">
      <c r="A40" s="2" t="s">
        <v>51</v>
      </c>
      <c r="B40" s="2" t="s">
        <v>10</v>
      </c>
      <c r="C40" s="2" t="s">
        <v>11</v>
      </c>
      <c r="D40" s="2" t="s">
        <v>12</v>
      </c>
      <c r="E40" s="2" t="s">
        <v>12</v>
      </c>
      <c r="F40" s="2" t="s">
        <v>12</v>
      </c>
      <c r="G40" s="2" t="s">
        <v>12</v>
      </c>
      <c r="H40" s="2" t="s">
        <v>12</v>
      </c>
      <c r="I40" s="2" t="s">
        <v>13</v>
      </c>
    </row>
    <row r="41" spans="1:9" x14ac:dyDescent="0.35">
      <c r="A41" t="s">
        <v>52</v>
      </c>
      <c r="B41" t="s">
        <v>10</v>
      </c>
      <c r="C41" t="s">
        <v>11</v>
      </c>
      <c r="D41" t="s">
        <v>12</v>
      </c>
      <c r="E41" t="s">
        <v>12</v>
      </c>
      <c r="F41" t="s">
        <v>12</v>
      </c>
      <c r="G41" t="s">
        <v>12</v>
      </c>
      <c r="H41" t="s">
        <v>12</v>
      </c>
      <c r="I41" t="s">
        <v>13</v>
      </c>
    </row>
    <row r="42" spans="1:9" x14ac:dyDescent="0.35">
      <c r="A42" s="2" t="s">
        <v>53</v>
      </c>
      <c r="B42" s="2" t="s">
        <v>10</v>
      </c>
      <c r="C42" s="2" t="s">
        <v>11</v>
      </c>
      <c r="D42" s="2" t="s">
        <v>12</v>
      </c>
      <c r="E42" s="2" t="s">
        <v>12</v>
      </c>
      <c r="F42" s="2" t="s">
        <v>12</v>
      </c>
      <c r="G42" s="2" t="s">
        <v>12</v>
      </c>
      <c r="H42" s="2" t="s">
        <v>12</v>
      </c>
      <c r="I42" s="2" t="s">
        <v>13</v>
      </c>
    </row>
    <row r="43" spans="1:9" x14ac:dyDescent="0.35">
      <c r="A43" t="s">
        <v>54</v>
      </c>
      <c r="B43" t="s">
        <v>10</v>
      </c>
      <c r="C43" t="s">
        <v>11</v>
      </c>
      <c r="D43" t="s">
        <v>12</v>
      </c>
      <c r="E43" t="s">
        <v>12</v>
      </c>
      <c r="F43" t="s">
        <v>12</v>
      </c>
      <c r="G43" t="s">
        <v>12</v>
      </c>
      <c r="H43" t="s">
        <v>12</v>
      </c>
      <c r="I43" t="s">
        <v>13</v>
      </c>
    </row>
    <row r="44" spans="1:9" x14ac:dyDescent="0.35">
      <c r="A44" s="2" t="s">
        <v>55</v>
      </c>
      <c r="B44" s="2" t="s">
        <v>10</v>
      </c>
      <c r="C44" s="2" t="s">
        <v>11</v>
      </c>
      <c r="D44" s="2" t="s">
        <v>12</v>
      </c>
      <c r="E44" s="2" t="s">
        <v>12</v>
      </c>
      <c r="F44" s="2" t="s">
        <v>12</v>
      </c>
      <c r="G44" s="2" t="s">
        <v>12</v>
      </c>
      <c r="H44" s="2" t="s">
        <v>12</v>
      </c>
      <c r="I44" s="2" t="s">
        <v>13</v>
      </c>
    </row>
    <row r="45" spans="1:9" x14ac:dyDescent="0.35">
      <c r="A45" t="s">
        <v>56</v>
      </c>
      <c r="B45" t="s">
        <v>10</v>
      </c>
      <c r="C45" t="s">
        <v>11</v>
      </c>
      <c r="D45" t="s">
        <v>12</v>
      </c>
      <c r="E45" t="s">
        <v>12</v>
      </c>
      <c r="F45" t="s">
        <v>12</v>
      </c>
      <c r="G45" t="s">
        <v>12</v>
      </c>
      <c r="H45" t="s">
        <v>12</v>
      </c>
      <c r="I45" t="s">
        <v>13</v>
      </c>
    </row>
    <row r="46" spans="1:9" x14ac:dyDescent="0.35">
      <c r="A46" s="2" t="s">
        <v>57</v>
      </c>
      <c r="B46" s="2" t="s">
        <v>10</v>
      </c>
      <c r="C46" s="2" t="s">
        <v>11</v>
      </c>
      <c r="D46" s="2" t="s">
        <v>12</v>
      </c>
      <c r="E46" s="2" t="s">
        <v>12</v>
      </c>
      <c r="F46" s="2" t="s">
        <v>12</v>
      </c>
      <c r="G46" s="2" t="s">
        <v>12</v>
      </c>
      <c r="H46" s="2" t="s">
        <v>12</v>
      </c>
      <c r="I46" s="2" t="s">
        <v>13</v>
      </c>
    </row>
    <row r="47" spans="1:9" x14ac:dyDescent="0.35">
      <c r="A47" t="s">
        <v>58</v>
      </c>
      <c r="B47" t="s">
        <v>10</v>
      </c>
      <c r="C47" t="s">
        <v>11</v>
      </c>
      <c r="D47" t="s">
        <v>12</v>
      </c>
      <c r="E47" t="s">
        <v>12</v>
      </c>
      <c r="F47" t="s">
        <v>12</v>
      </c>
      <c r="G47" t="s">
        <v>12</v>
      </c>
      <c r="H47" t="s">
        <v>12</v>
      </c>
      <c r="I47" t="s">
        <v>13</v>
      </c>
    </row>
    <row r="48" spans="1:9" x14ac:dyDescent="0.35">
      <c r="A48" s="2" t="s">
        <v>59</v>
      </c>
      <c r="B48" s="2" t="s">
        <v>10</v>
      </c>
      <c r="C48" s="2" t="s">
        <v>11</v>
      </c>
      <c r="D48" s="2" t="s">
        <v>12</v>
      </c>
      <c r="E48" s="2" t="s">
        <v>12</v>
      </c>
      <c r="F48" s="2" t="s">
        <v>12</v>
      </c>
      <c r="G48" s="2" t="s">
        <v>12</v>
      </c>
      <c r="H48" s="2" t="s">
        <v>12</v>
      </c>
      <c r="I48" s="2" t="s">
        <v>13</v>
      </c>
    </row>
    <row r="49" spans="1:9" x14ac:dyDescent="0.35">
      <c r="A49" t="s">
        <v>60</v>
      </c>
      <c r="B49" t="s">
        <v>10</v>
      </c>
      <c r="C49" t="s">
        <v>11</v>
      </c>
      <c r="D49" t="s">
        <v>12</v>
      </c>
      <c r="E49" t="s">
        <v>12</v>
      </c>
      <c r="F49" t="s">
        <v>12</v>
      </c>
      <c r="G49" t="s">
        <v>12</v>
      </c>
      <c r="H49" t="s">
        <v>12</v>
      </c>
      <c r="I49" t="s">
        <v>13</v>
      </c>
    </row>
    <row r="50" spans="1:9" x14ac:dyDescent="0.35">
      <c r="A50" s="2" t="s">
        <v>61</v>
      </c>
      <c r="B50" s="2" t="s">
        <v>10</v>
      </c>
      <c r="C50" s="2" t="s">
        <v>11</v>
      </c>
      <c r="D50" s="2" t="s">
        <v>12</v>
      </c>
      <c r="E50" s="2" t="s">
        <v>12</v>
      </c>
      <c r="F50" s="2" t="s">
        <v>12</v>
      </c>
      <c r="G50" s="2" t="s">
        <v>12</v>
      </c>
      <c r="H50" s="2" t="s">
        <v>12</v>
      </c>
      <c r="I50" s="2" t="s">
        <v>13</v>
      </c>
    </row>
    <row r="51" spans="1:9" x14ac:dyDescent="0.35">
      <c r="A51" t="s">
        <v>62</v>
      </c>
      <c r="B51" t="s">
        <v>10</v>
      </c>
      <c r="C51" t="s">
        <v>11</v>
      </c>
      <c r="D51" t="s">
        <v>12</v>
      </c>
      <c r="E51" t="s">
        <v>12</v>
      </c>
      <c r="F51" t="s">
        <v>12</v>
      </c>
      <c r="G51" t="s">
        <v>12</v>
      </c>
      <c r="H51" t="s">
        <v>12</v>
      </c>
      <c r="I51" t="s">
        <v>13</v>
      </c>
    </row>
    <row r="52" spans="1:9" x14ac:dyDescent="0.35">
      <c r="A52" s="2" t="s">
        <v>63</v>
      </c>
      <c r="B52" s="2" t="s">
        <v>10</v>
      </c>
      <c r="C52" s="2" t="s">
        <v>11</v>
      </c>
      <c r="D52" s="2" t="s">
        <v>12</v>
      </c>
      <c r="E52" s="2" t="s">
        <v>12</v>
      </c>
      <c r="F52" s="2" t="s">
        <v>12</v>
      </c>
      <c r="G52" s="2" t="s">
        <v>12</v>
      </c>
      <c r="H52" s="2" t="s">
        <v>12</v>
      </c>
      <c r="I52" s="2" t="s">
        <v>13</v>
      </c>
    </row>
    <row r="53" spans="1:9" x14ac:dyDescent="0.35">
      <c r="A53" t="s">
        <v>64</v>
      </c>
      <c r="B53" t="s">
        <v>10</v>
      </c>
      <c r="C53" t="s">
        <v>11</v>
      </c>
      <c r="D53" t="s">
        <v>12</v>
      </c>
      <c r="E53" t="s">
        <v>12</v>
      </c>
      <c r="F53" t="s">
        <v>12</v>
      </c>
      <c r="G53" t="s">
        <v>12</v>
      </c>
      <c r="H53" t="s">
        <v>12</v>
      </c>
      <c r="I53" t="s">
        <v>13</v>
      </c>
    </row>
    <row r="54" spans="1:9" x14ac:dyDescent="0.35">
      <c r="A54" s="2" t="s">
        <v>65</v>
      </c>
      <c r="B54" s="2" t="s">
        <v>10</v>
      </c>
      <c r="C54" s="2" t="s">
        <v>11</v>
      </c>
      <c r="D54" s="2" t="s">
        <v>12</v>
      </c>
      <c r="E54" s="2" t="s">
        <v>12</v>
      </c>
      <c r="F54" s="2" t="s">
        <v>12</v>
      </c>
      <c r="G54" s="2" t="s">
        <v>12</v>
      </c>
      <c r="H54" s="2" t="s">
        <v>12</v>
      </c>
      <c r="I54" s="2" t="s">
        <v>13</v>
      </c>
    </row>
    <row r="55" spans="1:9" x14ac:dyDescent="0.35">
      <c r="A55" t="s">
        <v>66</v>
      </c>
      <c r="B55" t="s">
        <v>10</v>
      </c>
      <c r="C55" t="s">
        <v>11</v>
      </c>
      <c r="D55" t="s">
        <v>12</v>
      </c>
      <c r="E55" t="s">
        <v>12</v>
      </c>
      <c r="F55" t="s">
        <v>12</v>
      </c>
      <c r="G55" t="s">
        <v>12</v>
      </c>
      <c r="H55" t="s">
        <v>12</v>
      </c>
      <c r="I55" t="s">
        <v>13</v>
      </c>
    </row>
    <row r="56" spans="1:9" x14ac:dyDescent="0.35">
      <c r="A56" s="2" t="s">
        <v>67</v>
      </c>
      <c r="B56" s="2" t="s">
        <v>10</v>
      </c>
      <c r="C56" s="2" t="s">
        <v>11</v>
      </c>
      <c r="D56" s="2" t="s">
        <v>12</v>
      </c>
      <c r="E56" s="2" t="s">
        <v>12</v>
      </c>
      <c r="F56" s="2" t="s">
        <v>12</v>
      </c>
      <c r="G56" s="2" t="s">
        <v>12</v>
      </c>
      <c r="H56" s="2" t="s">
        <v>12</v>
      </c>
      <c r="I56" s="2" t="s">
        <v>13</v>
      </c>
    </row>
    <row r="57" spans="1:9" x14ac:dyDescent="0.35">
      <c r="A57" t="s">
        <v>68</v>
      </c>
      <c r="B57" t="s">
        <v>10</v>
      </c>
      <c r="C57" t="s">
        <v>11</v>
      </c>
      <c r="D57" t="s">
        <v>12</v>
      </c>
      <c r="E57" t="s">
        <v>12</v>
      </c>
      <c r="F57" t="s">
        <v>12</v>
      </c>
      <c r="G57" t="s">
        <v>12</v>
      </c>
      <c r="H57" t="s">
        <v>12</v>
      </c>
      <c r="I57" t="s">
        <v>13</v>
      </c>
    </row>
    <row r="58" spans="1:9" x14ac:dyDescent="0.35">
      <c r="A58" s="2" t="s">
        <v>69</v>
      </c>
      <c r="B58" s="2" t="s">
        <v>10</v>
      </c>
      <c r="C58" s="2" t="s">
        <v>11</v>
      </c>
      <c r="D58" s="2" t="s">
        <v>12</v>
      </c>
      <c r="E58" s="2" t="s">
        <v>12</v>
      </c>
      <c r="F58" s="2" t="s">
        <v>12</v>
      </c>
      <c r="G58" s="2" t="s">
        <v>12</v>
      </c>
      <c r="H58" s="2" t="s">
        <v>12</v>
      </c>
      <c r="I58" s="2" t="s">
        <v>13</v>
      </c>
    </row>
    <row r="59" spans="1:9" x14ac:dyDescent="0.35">
      <c r="A59" t="s">
        <v>70</v>
      </c>
      <c r="B59" t="s">
        <v>10</v>
      </c>
      <c r="C59" t="s">
        <v>11</v>
      </c>
      <c r="D59" t="s">
        <v>12</v>
      </c>
      <c r="E59" t="s">
        <v>12</v>
      </c>
      <c r="F59" t="s">
        <v>12</v>
      </c>
      <c r="G59" t="s">
        <v>12</v>
      </c>
      <c r="H59" t="s">
        <v>12</v>
      </c>
      <c r="I59" t="s">
        <v>13</v>
      </c>
    </row>
    <row r="60" spans="1:9" x14ac:dyDescent="0.35">
      <c r="A60" s="2" t="s">
        <v>71</v>
      </c>
      <c r="B60" s="2" t="s">
        <v>10</v>
      </c>
      <c r="C60" s="2" t="s">
        <v>11</v>
      </c>
      <c r="D60" s="2" t="s">
        <v>12</v>
      </c>
      <c r="E60" s="2" t="s">
        <v>12</v>
      </c>
      <c r="F60" s="2" t="s">
        <v>12</v>
      </c>
      <c r="G60" s="2" t="s">
        <v>12</v>
      </c>
      <c r="H60" s="2" t="s">
        <v>12</v>
      </c>
      <c r="I60" s="2" t="s">
        <v>13</v>
      </c>
    </row>
    <row r="61" spans="1:9" x14ac:dyDescent="0.35">
      <c r="A61" t="s">
        <v>72</v>
      </c>
      <c r="B61" t="s">
        <v>10</v>
      </c>
      <c r="C61" t="s">
        <v>11</v>
      </c>
      <c r="D61" t="s">
        <v>12</v>
      </c>
      <c r="E61" t="s">
        <v>12</v>
      </c>
      <c r="F61" t="s">
        <v>12</v>
      </c>
      <c r="G61" t="s">
        <v>12</v>
      </c>
      <c r="H61" t="s">
        <v>12</v>
      </c>
      <c r="I61" t="s">
        <v>13</v>
      </c>
    </row>
    <row r="62" spans="1:9" x14ac:dyDescent="0.35">
      <c r="A62" s="2" t="s">
        <v>73</v>
      </c>
      <c r="B62" s="2" t="s">
        <v>10</v>
      </c>
      <c r="C62" s="2" t="s">
        <v>11</v>
      </c>
      <c r="D62" s="2" t="s">
        <v>12</v>
      </c>
      <c r="E62" s="2" t="s">
        <v>12</v>
      </c>
      <c r="F62" s="2" t="s">
        <v>12</v>
      </c>
      <c r="G62" s="2" t="s">
        <v>12</v>
      </c>
      <c r="H62" s="2" t="s">
        <v>12</v>
      </c>
      <c r="I62" s="2" t="s">
        <v>13</v>
      </c>
    </row>
    <row r="63" spans="1:9" x14ac:dyDescent="0.35">
      <c r="A63" t="s">
        <v>74</v>
      </c>
      <c r="B63" t="s">
        <v>10</v>
      </c>
      <c r="C63" t="s">
        <v>11</v>
      </c>
      <c r="D63" t="s">
        <v>12</v>
      </c>
      <c r="E63" t="s">
        <v>12</v>
      </c>
      <c r="F63" t="s">
        <v>12</v>
      </c>
      <c r="G63" t="s">
        <v>12</v>
      </c>
      <c r="H63" t="s">
        <v>12</v>
      </c>
      <c r="I63" t="s">
        <v>13</v>
      </c>
    </row>
    <row r="64" spans="1:9" x14ac:dyDescent="0.35">
      <c r="A64" s="2" t="s">
        <v>75</v>
      </c>
      <c r="B64" s="2" t="s">
        <v>10</v>
      </c>
      <c r="C64" s="2" t="s">
        <v>11</v>
      </c>
      <c r="D64" s="2" t="s">
        <v>12</v>
      </c>
      <c r="E64" s="2" t="s">
        <v>12</v>
      </c>
      <c r="F64" s="2" t="s">
        <v>12</v>
      </c>
      <c r="G64" s="2" t="s">
        <v>12</v>
      </c>
      <c r="H64" s="2" t="s">
        <v>12</v>
      </c>
      <c r="I64" s="2" t="s">
        <v>13</v>
      </c>
    </row>
    <row r="65" spans="1:9" x14ac:dyDescent="0.35">
      <c r="A65" t="s">
        <v>76</v>
      </c>
      <c r="B65" t="s">
        <v>10</v>
      </c>
      <c r="C65" t="s">
        <v>11</v>
      </c>
      <c r="D65" t="s">
        <v>12</v>
      </c>
      <c r="E65" t="s">
        <v>12</v>
      </c>
      <c r="F65" t="s">
        <v>12</v>
      </c>
      <c r="G65" t="s">
        <v>12</v>
      </c>
      <c r="H65" t="s">
        <v>12</v>
      </c>
      <c r="I65" t="s">
        <v>13</v>
      </c>
    </row>
    <row r="66" spans="1:9" x14ac:dyDescent="0.35">
      <c r="A66" s="2" t="s">
        <v>77</v>
      </c>
      <c r="B66" s="2" t="s">
        <v>10</v>
      </c>
      <c r="C66" s="2" t="s">
        <v>11</v>
      </c>
      <c r="D66" s="2" t="s">
        <v>12</v>
      </c>
      <c r="E66" s="2" t="s">
        <v>12</v>
      </c>
      <c r="F66" s="2" t="s">
        <v>12</v>
      </c>
      <c r="G66" s="2" t="s">
        <v>12</v>
      </c>
      <c r="H66" s="2" t="s">
        <v>12</v>
      </c>
      <c r="I66" s="2" t="s">
        <v>13</v>
      </c>
    </row>
    <row r="67" spans="1:9" x14ac:dyDescent="0.35">
      <c r="A67" t="s">
        <v>78</v>
      </c>
      <c r="B67" t="s">
        <v>10</v>
      </c>
      <c r="C67" t="s">
        <v>11</v>
      </c>
      <c r="D67" t="s">
        <v>12</v>
      </c>
      <c r="E67" t="s">
        <v>12</v>
      </c>
      <c r="F67" t="s">
        <v>12</v>
      </c>
      <c r="G67" t="s">
        <v>12</v>
      </c>
      <c r="H67" t="s">
        <v>12</v>
      </c>
      <c r="I67" t="s">
        <v>13</v>
      </c>
    </row>
    <row r="68" spans="1:9" x14ac:dyDescent="0.35">
      <c r="A68" s="2" t="s">
        <v>79</v>
      </c>
      <c r="B68" s="2" t="s">
        <v>10</v>
      </c>
      <c r="C68" s="2" t="s">
        <v>11</v>
      </c>
      <c r="D68" s="2" t="s">
        <v>12</v>
      </c>
      <c r="E68" s="2" t="s">
        <v>12</v>
      </c>
      <c r="F68" s="2" t="s">
        <v>12</v>
      </c>
      <c r="G68" s="2" t="s">
        <v>12</v>
      </c>
      <c r="H68" s="2" t="s">
        <v>12</v>
      </c>
      <c r="I68" s="2" t="s">
        <v>13</v>
      </c>
    </row>
    <row r="69" spans="1:9" x14ac:dyDescent="0.35">
      <c r="A69" t="s">
        <v>80</v>
      </c>
      <c r="B69" t="s">
        <v>10</v>
      </c>
      <c r="C69" t="s">
        <v>11</v>
      </c>
      <c r="D69" t="s">
        <v>12</v>
      </c>
      <c r="E69" t="s">
        <v>12</v>
      </c>
      <c r="F69" t="s">
        <v>12</v>
      </c>
      <c r="G69" t="s">
        <v>12</v>
      </c>
      <c r="H69" t="s">
        <v>12</v>
      </c>
      <c r="I69" t="s">
        <v>13</v>
      </c>
    </row>
    <row r="70" spans="1:9" x14ac:dyDescent="0.35">
      <c r="A70" s="2" t="s">
        <v>81</v>
      </c>
      <c r="B70" s="2" t="s">
        <v>10</v>
      </c>
      <c r="C70" s="2" t="s">
        <v>11</v>
      </c>
      <c r="D70" s="2" t="s">
        <v>12</v>
      </c>
      <c r="E70" s="2" t="s">
        <v>12</v>
      </c>
      <c r="F70" s="2" t="s">
        <v>12</v>
      </c>
      <c r="G70" s="2" t="s">
        <v>12</v>
      </c>
      <c r="H70" s="2" t="s">
        <v>12</v>
      </c>
      <c r="I70" s="2" t="s">
        <v>13</v>
      </c>
    </row>
    <row r="71" spans="1:9" x14ac:dyDescent="0.35">
      <c r="A71" t="s">
        <v>82</v>
      </c>
      <c r="B71" t="s">
        <v>10</v>
      </c>
      <c r="C71" t="s">
        <v>11</v>
      </c>
      <c r="D71" t="s">
        <v>12</v>
      </c>
      <c r="E71" t="s">
        <v>12</v>
      </c>
      <c r="F71" t="s">
        <v>12</v>
      </c>
      <c r="G71" t="s">
        <v>12</v>
      </c>
      <c r="H71" t="s">
        <v>12</v>
      </c>
      <c r="I71" t="s">
        <v>13</v>
      </c>
    </row>
    <row r="72" spans="1:9" x14ac:dyDescent="0.35">
      <c r="A72" s="2" t="s">
        <v>83</v>
      </c>
      <c r="B72" s="2" t="s">
        <v>10</v>
      </c>
      <c r="C72" s="2" t="s">
        <v>11</v>
      </c>
      <c r="D72" s="2" t="s">
        <v>12</v>
      </c>
      <c r="E72" s="2" t="s">
        <v>12</v>
      </c>
      <c r="F72" s="2" t="s">
        <v>12</v>
      </c>
      <c r="G72" s="2" t="s">
        <v>12</v>
      </c>
      <c r="H72" s="2" t="s">
        <v>12</v>
      </c>
      <c r="I72" s="2" t="s">
        <v>13</v>
      </c>
    </row>
    <row r="73" spans="1:9" x14ac:dyDescent="0.35">
      <c r="A73" t="s">
        <v>84</v>
      </c>
      <c r="B73" t="s">
        <v>10</v>
      </c>
      <c r="C73" t="s">
        <v>11</v>
      </c>
      <c r="D73" t="s">
        <v>12</v>
      </c>
      <c r="E73" t="s">
        <v>12</v>
      </c>
      <c r="F73" t="s">
        <v>12</v>
      </c>
      <c r="G73" t="s">
        <v>12</v>
      </c>
      <c r="H73" t="s">
        <v>12</v>
      </c>
      <c r="I73" t="s">
        <v>13</v>
      </c>
    </row>
    <row r="74" spans="1:9" x14ac:dyDescent="0.35">
      <c r="A74" s="2" t="s">
        <v>85</v>
      </c>
      <c r="B74" s="2" t="s">
        <v>10</v>
      </c>
      <c r="C74" s="2" t="s">
        <v>11</v>
      </c>
      <c r="D74" s="2" t="s">
        <v>12</v>
      </c>
      <c r="E74" s="2" t="s">
        <v>12</v>
      </c>
      <c r="F74" s="2" t="s">
        <v>12</v>
      </c>
      <c r="G74" s="2" t="s">
        <v>12</v>
      </c>
      <c r="H74" s="2" t="s">
        <v>12</v>
      </c>
      <c r="I74" s="2" t="s">
        <v>13</v>
      </c>
    </row>
    <row r="75" spans="1:9" x14ac:dyDescent="0.35">
      <c r="A75" t="s">
        <v>86</v>
      </c>
      <c r="B75" t="s">
        <v>10</v>
      </c>
      <c r="C75" t="s">
        <v>11</v>
      </c>
      <c r="D75" t="s">
        <v>12</v>
      </c>
      <c r="E75" t="s">
        <v>12</v>
      </c>
      <c r="F75" t="s">
        <v>12</v>
      </c>
      <c r="G75" t="s">
        <v>12</v>
      </c>
      <c r="H75" t="s">
        <v>12</v>
      </c>
      <c r="I75" t="s">
        <v>13</v>
      </c>
    </row>
    <row r="76" spans="1:9" x14ac:dyDescent="0.35">
      <c r="A76" s="2" t="s">
        <v>87</v>
      </c>
      <c r="B76" s="2" t="s">
        <v>10</v>
      </c>
      <c r="C76" s="2" t="s">
        <v>11</v>
      </c>
      <c r="D76" s="2" t="s">
        <v>12</v>
      </c>
      <c r="E76" s="2" t="s">
        <v>12</v>
      </c>
      <c r="F76" s="2" t="s">
        <v>12</v>
      </c>
      <c r="G76" s="2" t="s">
        <v>12</v>
      </c>
      <c r="H76" s="2" t="s">
        <v>12</v>
      </c>
      <c r="I76" s="2" t="s">
        <v>13</v>
      </c>
    </row>
    <row r="77" spans="1:9" x14ac:dyDescent="0.35">
      <c r="A77" t="s">
        <v>88</v>
      </c>
      <c r="B77" t="s">
        <v>10</v>
      </c>
      <c r="C77" t="s">
        <v>11</v>
      </c>
      <c r="D77" t="s">
        <v>12</v>
      </c>
      <c r="E77" t="s">
        <v>12</v>
      </c>
      <c r="F77" t="s">
        <v>12</v>
      </c>
      <c r="G77" t="s">
        <v>12</v>
      </c>
      <c r="H77" t="s">
        <v>12</v>
      </c>
      <c r="I77" t="s">
        <v>13</v>
      </c>
    </row>
    <row r="78" spans="1:9" x14ac:dyDescent="0.35">
      <c r="A78" s="2" t="s">
        <v>89</v>
      </c>
      <c r="B78" s="2" t="s">
        <v>10</v>
      </c>
      <c r="C78" s="2" t="s">
        <v>11</v>
      </c>
      <c r="D78" s="2" t="s">
        <v>12</v>
      </c>
      <c r="E78" s="2" t="s">
        <v>12</v>
      </c>
      <c r="F78" s="2" t="s">
        <v>12</v>
      </c>
      <c r="G78" s="2" t="s">
        <v>12</v>
      </c>
      <c r="H78" s="2" t="s">
        <v>12</v>
      </c>
      <c r="I78" s="2" t="s">
        <v>13</v>
      </c>
    </row>
    <row r="79" spans="1:9" x14ac:dyDescent="0.35">
      <c r="A79" t="s">
        <v>90</v>
      </c>
      <c r="B79" t="s">
        <v>10</v>
      </c>
      <c r="C79" t="s">
        <v>11</v>
      </c>
      <c r="D79" t="s">
        <v>12</v>
      </c>
      <c r="E79" t="s">
        <v>12</v>
      </c>
      <c r="F79" t="s">
        <v>12</v>
      </c>
      <c r="G79" t="s">
        <v>12</v>
      </c>
      <c r="H79" t="s">
        <v>12</v>
      </c>
      <c r="I79" t="s">
        <v>13</v>
      </c>
    </row>
    <row r="80" spans="1:9" x14ac:dyDescent="0.35">
      <c r="A80" s="2" t="s">
        <v>91</v>
      </c>
      <c r="B80" s="2" t="s">
        <v>10</v>
      </c>
      <c r="C80" s="2" t="s">
        <v>11</v>
      </c>
      <c r="D80" s="2" t="s">
        <v>12</v>
      </c>
      <c r="E80" s="2" t="s">
        <v>12</v>
      </c>
      <c r="F80" s="2" t="s">
        <v>12</v>
      </c>
      <c r="G80" s="2" t="s">
        <v>12</v>
      </c>
      <c r="H80" s="2" t="s">
        <v>12</v>
      </c>
      <c r="I80" s="2" t="s">
        <v>13</v>
      </c>
    </row>
    <row r="81" spans="1:9" x14ac:dyDescent="0.35">
      <c r="A81" t="s">
        <v>92</v>
      </c>
      <c r="B81" t="s">
        <v>10</v>
      </c>
      <c r="C81" t="s">
        <v>11</v>
      </c>
      <c r="D81" t="s">
        <v>12</v>
      </c>
      <c r="E81" t="s">
        <v>12</v>
      </c>
      <c r="F81" t="s">
        <v>12</v>
      </c>
      <c r="G81" t="s">
        <v>12</v>
      </c>
      <c r="H81" t="s">
        <v>12</v>
      </c>
      <c r="I81" t="s">
        <v>13</v>
      </c>
    </row>
    <row r="82" spans="1:9" x14ac:dyDescent="0.35">
      <c r="A82" s="2" t="s">
        <v>93</v>
      </c>
      <c r="B82" s="2" t="s">
        <v>10</v>
      </c>
      <c r="C82" s="2" t="s">
        <v>11</v>
      </c>
      <c r="D82" s="2" t="s">
        <v>12</v>
      </c>
      <c r="E82" s="2" t="s">
        <v>12</v>
      </c>
      <c r="F82" s="2" t="s">
        <v>12</v>
      </c>
      <c r="G82" s="2" t="s">
        <v>12</v>
      </c>
      <c r="H82" s="2" t="s">
        <v>12</v>
      </c>
      <c r="I82" s="2" t="s">
        <v>13</v>
      </c>
    </row>
    <row r="83" spans="1:9" x14ac:dyDescent="0.35">
      <c r="A83" t="s">
        <v>94</v>
      </c>
      <c r="B83" t="s">
        <v>10</v>
      </c>
      <c r="C83" t="s">
        <v>11</v>
      </c>
      <c r="D83" t="s">
        <v>12</v>
      </c>
      <c r="E83" t="s">
        <v>12</v>
      </c>
      <c r="F83" t="s">
        <v>12</v>
      </c>
      <c r="G83" t="s">
        <v>12</v>
      </c>
      <c r="H83" t="s">
        <v>12</v>
      </c>
      <c r="I83" t="s">
        <v>13</v>
      </c>
    </row>
    <row r="84" spans="1:9" x14ac:dyDescent="0.35">
      <c r="A84" s="2" t="s">
        <v>95</v>
      </c>
      <c r="B84" s="2" t="s">
        <v>10</v>
      </c>
      <c r="C84" s="2" t="s">
        <v>11</v>
      </c>
      <c r="D84" s="2" t="s">
        <v>12</v>
      </c>
      <c r="E84" s="2" t="s">
        <v>12</v>
      </c>
      <c r="F84" s="2" t="s">
        <v>12</v>
      </c>
      <c r="G84" s="2" t="s">
        <v>12</v>
      </c>
      <c r="H84" s="2" t="s">
        <v>12</v>
      </c>
      <c r="I84" s="2" t="s">
        <v>13</v>
      </c>
    </row>
    <row r="85" spans="1:9" x14ac:dyDescent="0.35">
      <c r="A85" t="s">
        <v>96</v>
      </c>
      <c r="B85" t="s">
        <v>10</v>
      </c>
      <c r="C85" t="s">
        <v>11</v>
      </c>
      <c r="D85" t="s">
        <v>12</v>
      </c>
      <c r="E85" t="s">
        <v>12</v>
      </c>
      <c r="F85" t="s">
        <v>12</v>
      </c>
      <c r="G85" t="s">
        <v>12</v>
      </c>
      <c r="H85" t="s">
        <v>12</v>
      </c>
      <c r="I85" t="s">
        <v>13</v>
      </c>
    </row>
    <row r="86" spans="1:9" x14ac:dyDescent="0.35">
      <c r="A86" s="2" t="s">
        <v>97</v>
      </c>
      <c r="B86" s="2" t="s">
        <v>10</v>
      </c>
      <c r="C86" s="2" t="s">
        <v>11</v>
      </c>
      <c r="D86" s="2" t="s">
        <v>12</v>
      </c>
      <c r="E86" s="2" t="s">
        <v>12</v>
      </c>
      <c r="F86" s="2" t="s">
        <v>12</v>
      </c>
      <c r="G86" s="2" t="s">
        <v>12</v>
      </c>
      <c r="H86" s="2" t="s">
        <v>12</v>
      </c>
      <c r="I86" s="2" t="s">
        <v>13</v>
      </c>
    </row>
    <row r="87" spans="1:9" x14ac:dyDescent="0.35">
      <c r="A87" t="s">
        <v>98</v>
      </c>
      <c r="B87" t="s">
        <v>10</v>
      </c>
      <c r="C87" t="s">
        <v>11</v>
      </c>
      <c r="D87" t="s">
        <v>12</v>
      </c>
      <c r="E87" t="s">
        <v>12</v>
      </c>
      <c r="F87" t="s">
        <v>12</v>
      </c>
      <c r="G87" t="s">
        <v>12</v>
      </c>
      <c r="H87" t="s">
        <v>12</v>
      </c>
      <c r="I87" t="s">
        <v>13</v>
      </c>
    </row>
    <row r="88" spans="1:9" x14ac:dyDescent="0.35">
      <c r="A88" s="2" t="s">
        <v>99</v>
      </c>
      <c r="B88" s="2" t="s">
        <v>10</v>
      </c>
      <c r="C88" s="2" t="s">
        <v>11</v>
      </c>
      <c r="D88" s="2" t="s">
        <v>12</v>
      </c>
      <c r="E88" s="2" t="s">
        <v>12</v>
      </c>
      <c r="F88" s="2" t="s">
        <v>12</v>
      </c>
      <c r="G88" s="2" t="s">
        <v>12</v>
      </c>
      <c r="H88" s="2" t="s">
        <v>12</v>
      </c>
      <c r="I88" s="2" t="s">
        <v>13</v>
      </c>
    </row>
    <row r="89" spans="1:9" x14ac:dyDescent="0.35">
      <c r="A89" t="s">
        <v>100</v>
      </c>
      <c r="B89" t="s">
        <v>10</v>
      </c>
      <c r="C89" t="s">
        <v>11</v>
      </c>
      <c r="D89" t="s">
        <v>12</v>
      </c>
      <c r="E89" t="s">
        <v>12</v>
      </c>
      <c r="F89" t="s">
        <v>12</v>
      </c>
      <c r="G89" t="s">
        <v>12</v>
      </c>
      <c r="H89" t="s">
        <v>12</v>
      </c>
      <c r="I89" t="s">
        <v>13</v>
      </c>
    </row>
    <row r="90" spans="1:9" x14ac:dyDescent="0.35">
      <c r="A90" s="2" t="s">
        <v>101</v>
      </c>
      <c r="B90" s="2" t="s">
        <v>10</v>
      </c>
      <c r="C90" s="2" t="s">
        <v>11</v>
      </c>
      <c r="D90" s="2" t="s">
        <v>12</v>
      </c>
      <c r="E90" s="2" t="s">
        <v>12</v>
      </c>
      <c r="F90" s="2" t="s">
        <v>12</v>
      </c>
      <c r="G90" s="2" t="s">
        <v>12</v>
      </c>
      <c r="H90" s="2" t="s">
        <v>12</v>
      </c>
      <c r="I90" s="2" t="s">
        <v>13</v>
      </c>
    </row>
    <row r="91" spans="1:9" x14ac:dyDescent="0.35">
      <c r="A91" t="s">
        <v>102</v>
      </c>
      <c r="B91" t="s">
        <v>10</v>
      </c>
      <c r="C91" t="s">
        <v>11</v>
      </c>
      <c r="D91" t="s">
        <v>12</v>
      </c>
      <c r="E91" t="s">
        <v>12</v>
      </c>
      <c r="F91" t="s">
        <v>12</v>
      </c>
      <c r="G91" t="s">
        <v>12</v>
      </c>
      <c r="H91" t="s">
        <v>12</v>
      </c>
      <c r="I91" t="s">
        <v>13</v>
      </c>
    </row>
    <row r="92" spans="1:9" x14ac:dyDescent="0.35">
      <c r="A92" s="2" t="s">
        <v>103</v>
      </c>
      <c r="B92" s="2" t="s">
        <v>10</v>
      </c>
      <c r="C92" s="2" t="s">
        <v>11</v>
      </c>
      <c r="D92" s="2" t="s">
        <v>12</v>
      </c>
      <c r="E92" s="2" t="s">
        <v>12</v>
      </c>
      <c r="F92" s="2" t="s">
        <v>12</v>
      </c>
      <c r="G92" s="2" t="s">
        <v>12</v>
      </c>
      <c r="H92" s="2" t="s">
        <v>12</v>
      </c>
      <c r="I92" s="2" t="s">
        <v>13</v>
      </c>
    </row>
    <row r="93" spans="1:9" x14ac:dyDescent="0.35">
      <c r="A93" t="s">
        <v>104</v>
      </c>
      <c r="B93" t="s">
        <v>10</v>
      </c>
      <c r="C93" t="s">
        <v>11</v>
      </c>
      <c r="D93" t="s">
        <v>12</v>
      </c>
      <c r="E93" t="s">
        <v>12</v>
      </c>
      <c r="F93" t="s">
        <v>12</v>
      </c>
      <c r="G93" t="s">
        <v>12</v>
      </c>
      <c r="H93" t="s">
        <v>12</v>
      </c>
      <c r="I93" t="s">
        <v>13</v>
      </c>
    </row>
    <row r="94" spans="1:9" x14ac:dyDescent="0.35">
      <c r="A94" s="2" t="s">
        <v>105</v>
      </c>
      <c r="B94" s="2" t="s">
        <v>10</v>
      </c>
      <c r="C94" s="2" t="s">
        <v>11</v>
      </c>
      <c r="D94" s="2" t="s">
        <v>12</v>
      </c>
      <c r="E94" s="2" t="s">
        <v>12</v>
      </c>
      <c r="F94" s="2" t="s">
        <v>12</v>
      </c>
      <c r="G94" s="2" t="s">
        <v>12</v>
      </c>
      <c r="H94" s="2" t="s">
        <v>12</v>
      </c>
      <c r="I94" s="2" t="s">
        <v>13</v>
      </c>
    </row>
    <row r="95" spans="1:9" x14ac:dyDescent="0.35">
      <c r="A95" t="s">
        <v>106</v>
      </c>
      <c r="B95" t="s">
        <v>10</v>
      </c>
      <c r="C95" t="s">
        <v>11</v>
      </c>
      <c r="D95" t="s">
        <v>12</v>
      </c>
      <c r="E95" t="s">
        <v>12</v>
      </c>
      <c r="F95" t="s">
        <v>12</v>
      </c>
      <c r="G95" t="s">
        <v>12</v>
      </c>
      <c r="H95" t="s">
        <v>12</v>
      </c>
      <c r="I95" t="s">
        <v>13</v>
      </c>
    </row>
    <row r="96" spans="1:9" x14ac:dyDescent="0.35">
      <c r="A96" s="2" t="s">
        <v>107</v>
      </c>
      <c r="B96" s="2" t="s">
        <v>10</v>
      </c>
      <c r="C96" s="2" t="s">
        <v>11</v>
      </c>
      <c r="D96" s="2" t="s">
        <v>12</v>
      </c>
      <c r="E96" s="2" t="s">
        <v>12</v>
      </c>
      <c r="F96" s="2" t="s">
        <v>12</v>
      </c>
      <c r="G96" s="2" t="s">
        <v>12</v>
      </c>
      <c r="H96" s="2" t="s">
        <v>12</v>
      </c>
      <c r="I96" s="2" t="s">
        <v>13</v>
      </c>
    </row>
    <row r="97" spans="1:9" x14ac:dyDescent="0.35">
      <c r="A97" t="s">
        <v>108</v>
      </c>
      <c r="B97" t="s">
        <v>10</v>
      </c>
      <c r="C97" t="s">
        <v>11</v>
      </c>
      <c r="D97" t="s">
        <v>12</v>
      </c>
      <c r="E97" t="s">
        <v>12</v>
      </c>
      <c r="F97" t="s">
        <v>12</v>
      </c>
      <c r="G97" t="s">
        <v>12</v>
      </c>
      <c r="H97" t="s">
        <v>12</v>
      </c>
      <c r="I97" t="s">
        <v>13</v>
      </c>
    </row>
    <row r="98" spans="1:9" x14ac:dyDescent="0.35">
      <c r="A98" s="2" t="s">
        <v>109</v>
      </c>
      <c r="B98" s="2" t="s">
        <v>10</v>
      </c>
      <c r="C98" s="2" t="s">
        <v>11</v>
      </c>
      <c r="D98" s="2" t="s">
        <v>12</v>
      </c>
      <c r="E98" s="2" t="s">
        <v>12</v>
      </c>
      <c r="F98" s="2" t="s">
        <v>12</v>
      </c>
      <c r="G98" s="2" t="s">
        <v>12</v>
      </c>
      <c r="H98" s="2" t="s">
        <v>12</v>
      </c>
      <c r="I98" s="2" t="s">
        <v>13</v>
      </c>
    </row>
    <row r="99" spans="1:9" x14ac:dyDescent="0.35">
      <c r="A99" t="s">
        <v>110</v>
      </c>
      <c r="B99" t="s">
        <v>10</v>
      </c>
      <c r="C99" t="s">
        <v>11</v>
      </c>
      <c r="D99" t="s">
        <v>12</v>
      </c>
      <c r="E99" t="s">
        <v>12</v>
      </c>
      <c r="F99" t="s">
        <v>12</v>
      </c>
      <c r="G99" t="s">
        <v>12</v>
      </c>
      <c r="H99" t="s">
        <v>12</v>
      </c>
      <c r="I99" t="s">
        <v>13</v>
      </c>
    </row>
    <row r="100" spans="1:9" x14ac:dyDescent="0.35">
      <c r="A100" s="2" t="s">
        <v>111</v>
      </c>
      <c r="B100" s="2" t="s">
        <v>10</v>
      </c>
      <c r="C100" s="2" t="s">
        <v>11</v>
      </c>
      <c r="D100" s="2" t="s">
        <v>12</v>
      </c>
      <c r="E100" s="2" t="s">
        <v>12</v>
      </c>
      <c r="F100" s="2" t="s">
        <v>12</v>
      </c>
      <c r="G100" s="2" t="s">
        <v>12</v>
      </c>
      <c r="H100" s="2" t="s">
        <v>12</v>
      </c>
      <c r="I100" s="2" t="s">
        <v>13</v>
      </c>
    </row>
    <row r="101" spans="1:9" x14ac:dyDescent="0.35">
      <c r="A101" t="s">
        <v>112</v>
      </c>
      <c r="B101" t="s">
        <v>10</v>
      </c>
      <c r="C101" t="s">
        <v>11</v>
      </c>
      <c r="D101" t="s">
        <v>12</v>
      </c>
      <c r="E101" t="s">
        <v>12</v>
      </c>
      <c r="F101" t="s">
        <v>12</v>
      </c>
      <c r="G101" t="s">
        <v>12</v>
      </c>
      <c r="H101" t="s">
        <v>12</v>
      </c>
      <c r="I101" t="s">
        <v>13</v>
      </c>
    </row>
    <row r="102" spans="1:9" x14ac:dyDescent="0.35">
      <c r="A102" s="2" t="s">
        <v>113</v>
      </c>
      <c r="B102" s="2" t="s">
        <v>10</v>
      </c>
      <c r="C102" s="2" t="s">
        <v>11</v>
      </c>
      <c r="D102" s="2" t="s">
        <v>12</v>
      </c>
      <c r="E102" s="2" t="s">
        <v>12</v>
      </c>
      <c r="F102" s="2" t="s">
        <v>12</v>
      </c>
      <c r="G102" s="2" t="s">
        <v>12</v>
      </c>
      <c r="H102" s="2" t="s">
        <v>12</v>
      </c>
      <c r="I102" s="2" t="s">
        <v>13</v>
      </c>
    </row>
    <row r="103" spans="1:9" x14ac:dyDescent="0.35">
      <c r="A103" t="s">
        <v>114</v>
      </c>
      <c r="B103" t="s">
        <v>10</v>
      </c>
      <c r="C103" t="s">
        <v>11</v>
      </c>
      <c r="D103" t="s">
        <v>12</v>
      </c>
      <c r="E103" t="s">
        <v>12</v>
      </c>
      <c r="F103" t="s">
        <v>12</v>
      </c>
      <c r="G103" t="s">
        <v>12</v>
      </c>
      <c r="H103" t="s">
        <v>12</v>
      </c>
      <c r="I103" t="s">
        <v>13</v>
      </c>
    </row>
    <row r="104" spans="1:9" x14ac:dyDescent="0.35">
      <c r="A104" s="2" t="s">
        <v>115</v>
      </c>
      <c r="B104" s="2" t="s">
        <v>10</v>
      </c>
      <c r="C104" s="2" t="s">
        <v>11</v>
      </c>
      <c r="D104" s="2" t="s">
        <v>12</v>
      </c>
      <c r="E104" s="2" t="s">
        <v>12</v>
      </c>
      <c r="F104" s="2" t="s">
        <v>12</v>
      </c>
      <c r="G104" s="2" t="s">
        <v>12</v>
      </c>
      <c r="H104" s="2" t="s">
        <v>12</v>
      </c>
      <c r="I104" s="2" t="s">
        <v>13</v>
      </c>
    </row>
    <row r="105" spans="1:9" x14ac:dyDescent="0.35">
      <c r="A105" t="s">
        <v>116</v>
      </c>
      <c r="B105" t="s">
        <v>10</v>
      </c>
      <c r="C105" t="s">
        <v>11</v>
      </c>
      <c r="D105" t="s">
        <v>12</v>
      </c>
      <c r="E105" t="s">
        <v>12</v>
      </c>
      <c r="F105" t="s">
        <v>12</v>
      </c>
      <c r="G105" t="s">
        <v>12</v>
      </c>
      <c r="H105" t="s">
        <v>12</v>
      </c>
      <c r="I105" t="s">
        <v>13</v>
      </c>
    </row>
    <row r="106" spans="1:9" x14ac:dyDescent="0.35">
      <c r="A106" s="2" t="s">
        <v>117</v>
      </c>
      <c r="B106" s="2" t="s">
        <v>10</v>
      </c>
      <c r="C106" s="2" t="s">
        <v>11</v>
      </c>
      <c r="D106" s="2" t="s">
        <v>12</v>
      </c>
      <c r="E106" s="2" t="s">
        <v>12</v>
      </c>
      <c r="F106" s="2" t="s">
        <v>12</v>
      </c>
      <c r="G106" s="2" t="s">
        <v>12</v>
      </c>
      <c r="H106" s="2" t="s">
        <v>12</v>
      </c>
      <c r="I106" s="2" t="s">
        <v>13</v>
      </c>
    </row>
    <row r="107" spans="1:9" x14ac:dyDescent="0.35">
      <c r="A107" t="s">
        <v>118</v>
      </c>
      <c r="B107" t="s">
        <v>10</v>
      </c>
      <c r="C107" t="s">
        <v>11</v>
      </c>
      <c r="D107" t="s">
        <v>12</v>
      </c>
      <c r="E107" t="s">
        <v>12</v>
      </c>
      <c r="F107" t="s">
        <v>12</v>
      </c>
      <c r="G107" t="s">
        <v>12</v>
      </c>
      <c r="H107" t="s">
        <v>12</v>
      </c>
      <c r="I107" t="s">
        <v>13</v>
      </c>
    </row>
    <row r="108" spans="1:9" x14ac:dyDescent="0.35">
      <c r="A108" s="2" t="s">
        <v>119</v>
      </c>
      <c r="B108" s="2" t="s">
        <v>10</v>
      </c>
      <c r="C108" s="2" t="s">
        <v>11</v>
      </c>
      <c r="D108" s="2" t="s">
        <v>12</v>
      </c>
      <c r="E108" s="2" t="s">
        <v>12</v>
      </c>
      <c r="F108" s="2" t="s">
        <v>12</v>
      </c>
      <c r="G108" s="2" t="s">
        <v>12</v>
      </c>
      <c r="H108" s="2" t="s">
        <v>12</v>
      </c>
      <c r="I108" s="2" t="s">
        <v>13</v>
      </c>
    </row>
    <row r="109" spans="1:9" x14ac:dyDescent="0.35">
      <c r="A109" t="s">
        <v>120</v>
      </c>
      <c r="B109" t="s">
        <v>10</v>
      </c>
      <c r="C109" t="s">
        <v>11</v>
      </c>
      <c r="D109" t="s">
        <v>12</v>
      </c>
      <c r="E109" t="s">
        <v>12</v>
      </c>
      <c r="F109" t="s">
        <v>12</v>
      </c>
      <c r="G109" t="s">
        <v>12</v>
      </c>
      <c r="H109" t="s">
        <v>12</v>
      </c>
      <c r="I109" t="s">
        <v>13</v>
      </c>
    </row>
    <row r="110" spans="1:9" x14ac:dyDescent="0.35">
      <c r="A110" s="2" t="s">
        <v>121</v>
      </c>
      <c r="B110" s="2" t="s">
        <v>10</v>
      </c>
      <c r="C110" s="2" t="s">
        <v>11</v>
      </c>
      <c r="D110" s="2" t="s">
        <v>12</v>
      </c>
      <c r="E110" s="2" t="s">
        <v>12</v>
      </c>
      <c r="F110" s="2" t="s">
        <v>12</v>
      </c>
      <c r="G110" s="2" t="s">
        <v>12</v>
      </c>
      <c r="H110" s="2" t="s">
        <v>12</v>
      </c>
      <c r="I110" s="2" t="s">
        <v>13</v>
      </c>
    </row>
    <row r="111" spans="1:9" x14ac:dyDescent="0.35">
      <c r="A111" t="s">
        <v>122</v>
      </c>
      <c r="B111" t="s">
        <v>10</v>
      </c>
      <c r="C111" t="s">
        <v>11</v>
      </c>
      <c r="D111" t="s">
        <v>12</v>
      </c>
      <c r="E111" t="s">
        <v>12</v>
      </c>
      <c r="F111" t="s">
        <v>12</v>
      </c>
      <c r="G111" t="s">
        <v>12</v>
      </c>
      <c r="H111" t="s">
        <v>12</v>
      </c>
      <c r="I111" t="s">
        <v>13</v>
      </c>
    </row>
    <row r="112" spans="1:9" x14ac:dyDescent="0.35">
      <c r="A112" s="2" t="s">
        <v>123</v>
      </c>
      <c r="B112" s="2" t="s">
        <v>10</v>
      </c>
      <c r="C112" s="2" t="s">
        <v>11</v>
      </c>
      <c r="D112" s="2" t="s">
        <v>12</v>
      </c>
      <c r="E112" s="2" t="s">
        <v>12</v>
      </c>
      <c r="F112" s="2" t="s">
        <v>12</v>
      </c>
      <c r="G112" s="2" t="s">
        <v>12</v>
      </c>
      <c r="H112" s="2" t="s">
        <v>12</v>
      </c>
      <c r="I112" s="2" t="s">
        <v>13</v>
      </c>
    </row>
    <row r="113" spans="1:9" x14ac:dyDescent="0.35">
      <c r="A113" t="s">
        <v>124</v>
      </c>
      <c r="B113" t="s">
        <v>10</v>
      </c>
      <c r="C113" t="s">
        <v>11</v>
      </c>
      <c r="D113" t="s">
        <v>12</v>
      </c>
      <c r="E113" t="s">
        <v>12</v>
      </c>
      <c r="F113" t="s">
        <v>12</v>
      </c>
      <c r="G113" t="s">
        <v>12</v>
      </c>
      <c r="H113" t="s">
        <v>12</v>
      </c>
      <c r="I113" t="s">
        <v>13</v>
      </c>
    </row>
    <row r="114" spans="1:9" x14ac:dyDescent="0.35">
      <c r="A114" s="2" t="s">
        <v>125</v>
      </c>
      <c r="B114" s="2" t="s">
        <v>10</v>
      </c>
      <c r="C114" s="2" t="s">
        <v>11</v>
      </c>
      <c r="D114" s="2" t="s">
        <v>12</v>
      </c>
      <c r="E114" s="2" t="s">
        <v>12</v>
      </c>
      <c r="F114" s="2" t="s">
        <v>12</v>
      </c>
      <c r="G114" s="2" t="s">
        <v>12</v>
      </c>
      <c r="H114" s="2" t="s">
        <v>12</v>
      </c>
      <c r="I114" s="2" t="s">
        <v>13</v>
      </c>
    </row>
    <row r="115" spans="1:9" x14ac:dyDescent="0.35">
      <c r="A115" t="s">
        <v>126</v>
      </c>
      <c r="B115" t="s">
        <v>10</v>
      </c>
      <c r="C115" t="s">
        <v>11</v>
      </c>
      <c r="D115" t="s">
        <v>12</v>
      </c>
      <c r="E115" t="s">
        <v>12</v>
      </c>
      <c r="F115" t="s">
        <v>12</v>
      </c>
      <c r="G115" t="s">
        <v>12</v>
      </c>
      <c r="H115" t="s">
        <v>12</v>
      </c>
      <c r="I115" t="s">
        <v>13</v>
      </c>
    </row>
    <row r="116" spans="1:9" x14ac:dyDescent="0.35">
      <c r="A116" s="2" t="s">
        <v>127</v>
      </c>
      <c r="B116" s="2" t="s">
        <v>10</v>
      </c>
      <c r="C116" s="2" t="s">
        <v>11</v>
      </c>
      <c r="D116" s="2" t="s">
        <v>12</v>
      </c>
      <c r="E116" s="2" t="s">
        <v>12</v>
      </c>
      <c r="F116" s="2" t="s">
        <v>12</v>
      </c>
      <c r="G116" s="2" t="s">
        <v>12</v>
      </c>
      <c r="H116" s="2" t="s">
        <v>12</v>
      </c>
      <c r="I116" s="2" t="s">
        <v>13</v>
      </c>
    </row>
    <row r="117" spans="1:9" x14ac:dyDescent="0.35">
      <c r="A117" t="s">
        <v>128</v>
      </c>
      <c r="B117" t="s">
        <v>10</v>
      </c>
      <c r="C117" t="s">
        <v>11</v>
      </c>
      <c r="D117" t="s">
        <v>12</v>
      </c>
      <c r="E117" t="s">
        <v>12</v>
      </c>
      <c r="F117" t="s">
        <v>12</v>
      </c>
      <c r="G117" t="s">
        <v>12</v>
      </c>
      <c r="H117" t="s">
        <v>12</v>
      </c>
      <c r="I117" t="s">
        <v>13</v>
      </c>
    </row>
    <row r="118" spans="1:9" x14ac:dyDescent="0.35">
      <c r="A118" s="2" t="s">
        <v>129</v>
      </c>
      <c r="B118" s="2" t="s">
        <v>10</v>
      </c>
      <c r="C118" s="2" t="s">
        <v>11</v>
      </c>
      <c r="D118" s="2" t="s">
        <v>12</v>
      </c>
      <c r="E118" s="2" t="s">
        <v>12</v>
      </c>
      <c r="F118" s="2" t="s">
        <v>12</v>
      </c>
      <c r="G118" s="2" t="s">
        <v>12</v>
      </c>
      <c r="H118" s="2" t="s">
        <v>12</v>
      </c>
      <c r="I118" s="2" t="s">
        <v>13</v>
      </c>
    </row>
    <row r="119" spans="1:9" x14ac:dyDescent="0.35">
      <c r="A119" t="s">
        <v>130</v>
      </c>
      <c r="B119" t="s">
        <v>10</v>
      </c>
      <c r="C119" t="s">
        <v>11</v>
      </c>
      <c r="D119" t="s">
        <v>12</v>
      </c>
      <c r="E119" t="s">
        <v>12</v>
      </c>
      <c r="F119" t="s">
        <v>12</v>
      </c>
      <c r="G119" t="s">
        <v>12</v>
      </c>
      <c r="H119" t="s">
        <v>12</v>
      </c>
      <c r="I119" t="s">
        <v>13</v>
      </c>
    </row>
    <row r="120" spans="1:9" x14ac:dyDescent="0.35">
      <c r="A120" s="2" t="s">
        <v>131</v>
      </c>
      <c r="B120" s="2" t="s">
        <v>10</v>
      </c>
      <c r="C120" s="2" t="s">
        <v>11</v>
      </c>
      <c r="D120" s="2" t="s">
        <v>12</v>
      </c>
      <c r="E120" s="2" t="s">
        <v>12</v>
      </c>
      <c r="F120" s="2" t="s">
        <v>12</v>
      </c>
      <c r="G120" s="2" t="s">
        <v>12</v>
      </c>
      <c r="H120" s="2" t="s">
        <v>12</v>
      </c>
      <c r="I120" s="2" t="s">
        <v>13</v>
      </c>
    </row>
    <row r="121" spans="1:9" x14ac:dyDescent="0.35">
      <c r="A121" t="s">
        <v>132</v>
      </c>
      <c r="B121" t="s">
        <v>10</v>
      </c>
      <c r="C121" t="s">
        <v>11</v>
      </c>
      <c r="D121" t="s">
        <v>12</v>
      </c>
      <c r="E121" t="s">
        <v>12</v>
      </c>
      <c r="F121" t="s">
        <v>12</v>
      </c>
      <c r="G121" t="s">
        <v>12</v>
      </c>
      <c r="H121" t="s">
        <v>12</v>
      </c>
      <c r="I121" t="s">
        <v>13</v>
      </c>
    </row>
    <row r="122" spans="1:9" x14ac:dyDescent="0.35">
      <c r="A122" s="2" t="s">
        <v>133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 t="s">
        <v>12</v>
      </c>
      <c r="H122" s="2" t="s">
        <v>12</v>
      </c>
      <c r="I122" s="2" t="s">
        <v>13</v>
      </c>
    </row>
    <row r="123" spans="1:9" x14ac:dyDescent="0.35">
      <c r="A123" t="s">
        <v>134</v>
      </c>
      <c r="B123" t="s">
        <v>10</v>
      </c>
      <c r="C123" t="s">
        <v>11</v>
      </c>
      <c r="D123" t="s">
        <v>12</v>
      </c>
      <c r="E123" t="s">
        <v>12</v>
      </c>
      <c r="F123" t="s">
        <v>12</v>
      </c>
      <c r="G123" t="s">
        <v>12</v>
      </c>
      <c r="H123" t="s">
        <v>12</v>
      </c>
      <c r="I123" t="s">
        <v>13</v>
      </c>
    </row>
    <row r="124" spans="1:9" x14ac:dyDescent="0.35">
      <c r="A124" s="2" t="s">
        <v>135</v>
      </c>
      <c r="B124" s="2" t="s">
        <v>10</v>
      </c>
      <c r="C124" s="2" t="s">
        <v>11</v>
      </c>
      <c r="D124" s="2" t="s">
        <v>12</v>
      </c>
      <c r="E124" s="2" t="s">
        <v>12</v>
      </c>
      <c r="F124" s="2" t="s">
        <v>12</v>
      </c>
      <c r="G124" s="2" t="s">
        <v>12</v>
      </c>
      <c r="H124" s="2" t="s">
        <v>12</v>
      </c>
      <c r="I124" s="2" t="s">
        <v>13</v>
      </c>
    </row>
    <row r="125" spans="1:9" x14ac:dyDescent="0.35">
      <c r="A125" t="s">
        <v>136</v>
      </c>
      <c r="B125" t="s">
        <v>10</v>
      </c>
      <c r="C125" t="s">
        <v>11</v>
      </c>
      <c r="D125" t="s">
        <v>12</v>
      </c>
      <c r="E125" t="s">
        <v>12</v>
      </c>
      <c r="F125" t="s">
        <v>12</v>
      </c>
      <c r="G125" t="s">
        <v>12</v>
      </c>
      <c r="H125" t="s">
        <v>12</v>
      </c>
      <c r="I125" t="s">
        <v>13</v>
      </c>
    </row>
    <row r="126" spans="1:9" x14ac:dyDescent="0.35">
      <c r="A126" s="2" t="s">
        <v>137</v>
      </c>
      <c r="B126" s="2" t="s">
        <v>10</v>
      </c>
      <c r="C126" s="2" t="s">
        <v>11</v>
      </c>
      <c r="D126" s="2" t="s">
        <v>12</v>
      </c>
      <c r="E126" s="2" t="s">
        <v>12</v>
      </c>
      <c r="F126" s="2" t="s">
        <v>12</v>
      </c>
      <c r="G126" s="2" t="s">
        <v>12</v>
      </c>
      <c r="H126" s="2" t="s">
        <v>12</v>
      </c>
      <c r="I126" s="2" t="s">
        <v>13</v>
      </c>
    </row>
    <row r="127" spans="1:9" x14ac:dyDescent="0.35">
      <c r="A127" t="s">
        <v>138</v>
      </c>
      <c r="B127" t="s">
        <v>10</v>
      </c>
      <c r="C127" t="s">
        <v>11</v>
      </c>
      <c r="D127" t="s">
        <v>12</v>
      </c>
      <c r="E127" t="s">
        <v>12</v>
      </c>
      <c r="F127" t="s">
        <v>12</v>
      </c>
      <c r="G127" t="s">
        <v>12</v>
      </c>
      <c r="H127" t="s">
        <v>12</v>
      </c>
      <c r="I127" t="s">
        <v>13</v>
      </c>
    </row>
    <row r="128" spans="1:9" x14ac:dyDescent="0.35">
      <c r="A128" s="2" t="s">
        <v>139</v>
      </c>
      <c r="B128" s="2" t="s">
        <v>10</v>
      </c>
      <c r="C128" s="2" t="s">
        <v>11</v>
      </c>
      <c r="D128" s="2" t="s">
        <v>12</v>
      </c>
      <c r="E128" s="2" t="s">
        <v>12</v>
      </c>
      <c r="F128" s="2" t="s">
        <v>12</v>
      </c>
      <c r="G128" s="2" t="s">
        <v>12</v>
      </c>
      <c r="H128" s="2" t="s">
        <v>12</v>
      </c>
      <c r="I128" s="2" t="s">
        <v>13</v>
      </c>
    </row>
    <row r="129" spans="1:9" x14ac:dyDescent="0.35">
      <c r="A129" t="s">
        <v>140</v>
      </c>
      <c r="B129" t="s">
        <v>10</v>
      </c>
      <c r="C129" t="s">
        <v>11</v>
      </c>
      <c r="D129" t="s">
        <v>12</v>
      </c>
      <c r="E129" t="s">
        <v>12</v>
      </c>
      <c r="F129" t="s">
        <v>12</v>
      </c>
      <c r="G129" t="s">
        <v>12</v>
      </c>
      <c r="H129" t="s">
        <v>12</v>
      </c>
      <c r="I129" t="s">
        <v>13</v>
      </c>
    </row>
    <row r="130" spans="1:9" x14ac:dyDescent="0.35">
      <c r="A130" s="2" t="s">
        <v>141</v>
      </c>
      <c r="B130" s="2" t="s">
        <v>10</v>
      </c>
      <c r="C130" s="2" t="s">
        <v>11</v>
      </c>
      <c r="D130" s="2" t="s">
        <v>12</v>
      </c>
      <c r="E130" s="2" t="s">
        <v>12</v>
      </c>
      <c r="F130" s="2" t="s">
        <v>12</v>
      </c>
      <c r="G130" s="2" t="s">
        <v>12</v>
      </c>
      <c r="H130" s="2" t="s">
        <v>12</v>
      </c>
      <c r="I130" s="2" t="s">
        <v>13</v>
      </c>
    </row>
    <row r="131" spans="1:9" x14ac:dyDescent="0.35">
      <c r="A131" t="s">
        <v>142</v>
      </c>
      <c r="B131" t="s">
        <v>10</v>
      </c>
      <c r="C131" t="s">
        <v>11</v>
      </c>
      <c r="D131" t="s">
        <v>12</v>
      </c>
      <c r="E131" t="s">
        <v>12</v>
      </c>
      <c r="F131" t="s">
        <v>12</v>
      </c>
      <c r="G131" t="s">
        <v>12</v>
      </c>
      <c r="H131" t="s">
        <v>12</v>
      </c>
      <c r="I131" t="s">
        <v>13</v>
      </c>
    </row>
    <row r="132" spans="1:9" x14ac:dyDescent="0.35">
      <c r="A132" s="2" t="s">
        <v>143</v>
      </c>
      <c r="B132" s="2" t="s">
        <v>10</v>
      </c>
      <c r="C132" s="2" t="s">
        <v>11</v>
      </c>
      <c r="D132" s="2" t="s">
        <v>12</v>
      </c>
      <c r="E132" s="2" t="s">
        <v>12</v>
      </c>
      <c r="F132" s="2" t="s">
        <v>12</v>
      </c>
      <c r="G132" s="2" t="s">
        <v>12</v>
      </c>
      <c r="H132" s="2" t="s">
        <v>12</v>
      </c>
      <c r="I132" s="2" t="s">
        <v>13</v>
      </c>
    </row>
    <row r="133" spans="1:9" x14ac:dyDescent="0.35">
      <c r="A133" t="s">
        <v>144</v>
      </c>
      <c r="B133" t="s">
        <v>10</v>
      </c>
      <c r="C133" t="s">
        <v>11</v>
      </c>
      <c r="D133" t="s">
        <v>12</v>
      </c>
      <c r="E133" t="s">
        <v>12</v>
      </c>
      <c r="F133" t="s">
        <v>12</v>
      </c>
      <c r="G133" t="s">
        <v>12</v>
      </c>
      <c r="H133" t="s">
        <v>12</v>
      </c>
      <c r="I133" t="s">
        <v>13</v>
      </c>
    </row>
    <row r="134" spans="1:9" x14ac:dyDescent="0.35">
      <c r="A134" s="2" t="s">
        <v>145</v>
      </c>
      <c r="B134" s="2" t="s">
        <v>10</v>
      </c>
      <c r="C134" s="2" t="s">
        <v>11</v>
      </c>
      <c r="D134" s="2" t="s">
        <v>12</v>
      </c>
      <c r="E134" s="2" t="s">
        <v>12</v>
      </c>
      <c r="F134" s="2" t="s">
        <v>12</v>
      </c>
      <c r="G134" s="2" t="s">
        <v>12</v>
      </c>
      <c r="H134" s="2" t="s">
        <v>12</v>
      </c>
      <c r="I134" s="2" t="s">
        <v>13</v>
      </c>
    </row>
    <row r="135" spans="1:9" x14ac:dyDescent="0.35">
      <c r="A135" t="s">
        <v>146</v>
      </c>
      <c r="B135" t="s">
        <v>10</v>
      </c>
      <c r="C135" t="s">
        <v>11</v>
      </c>
      <c r="D135" t="s">
        <v>12</v>
      </c>
      <c r="E135" t="s">
        <v>12</v>
      </c>
      <c r="F135" t="s">
        <v>12</v>
      </c>
      <c r="G135" t="s">
        <v>12</v>
      </c>
      <c r="H135" t="s">
        <v>12</v>
      </c>
      <c r="I135" t="s">
        <v>13</v>
      </c>
    </row>
    <row r="136" spans="1:9" x14ac:dyDescent="0.35">
      <c r="A136" s="2" t="s">
        <v>147</v>
      </c>
      <c r="B136" s="2" t="s">
        <v>10</v>
      </c>
      <c r="C136" s="2" t="s">
        <v>11</v>
      </c>
      <c r="D136" s="2" t="s">
        <v>12</v>
      </c>
      <c r="E136" s="2" t="s">
        <v>12</v>
      </c>
      <c r="F136" s="2" t="s">
        <v>12</v>
      </c>
      <c r="G136" s="2" t="s">
        <v>12</v>
      </c>
      <c r="H136" s="2" t="s">
        <v>12</v>
      </c>
      <c r="I136" s="2" t="s">
        <v>13</v>
      </c>
    </row>
    <row r="137" spans="1:9" x14ac:dyDescent="0.35">
      <c r="A137" t="s">
        <v>148</v>
      </c>
      <c r="B137" t="s">
        <v>10</v>
      </c>
      <c r="C137" t="s">
        <v>11</v>
      </c>
      <c r="D137" t="s">
        <v>12</v>
      </c>
      <c r="E137" t="s">
        <v>12</v>
      </c>
      <c r="F137" t="s">
        <v>12</v>
      </c>
      <c r="G137" t="s">
        <v>12</v>
      </c>
      <c r="H137" t="s">
        <v>12</v>
      </c>
      <c r="I137" t="s">
        <v>13</v>
      </c>
    </row>
    <row r="138" spans="1:9" x14ac:dyDescent="0.35">
      <c r="A138" s="2" t="s">
        <v>149</v>
      </c>
      <c r="B138" s="2" t="s">
        <v>10</v>
      </c>
      <c r="C138" s="2" t="s">
        <v>11</v>
      </c>
      <c r="D138" s="2" t="s">
        <v>12</v>
      </c>
      <c r="E138" s="2" t="s">
        <v>12</v>
      </c>
      <c r="F138" s="2" t="s">
        <v>12</v>
      </c>
      <c r="G138" s="2" t="s">
        <v>12</v>
      </c>
      <c r="H138" s="2" t="s">
        <v>12</v>
      </c>
      <c r="I138" s="2" t="s">
        <v>13</v>
      </c>
    </row>
    <row r="139" spans="1:9" x14ac:dyDescent="0.35">
      <c r="A139" t="s">
        <v>150</v>
      </c>
      <c r="B139" t="s">
        <v>10</v>
      </c>
      <c r="C139" t="s">
        <v>11</v>
      </c>
      <c r="D139" t="s">
        <v>12</v>
      </c>
      <c r="E139" t="s">
        <v>12</v>
      </c>
      <c r="F139" t="s">
        <v>12</v>
      </c>
      <c r="G139" t="s">
        <v>12</v>
      </c>
      <c r="H139" t="s">
        <v>12</v>
      </c>
      <c r="I139" t="s">
        <v>13</v>
      </c>
    </row>
    <row r="140" spans="1:9" x14ac:dyDescent="0.35">
      <c r="A140" s="2" t="s">
        <v>151</v>
      </c>
      <c r="B140" s="2" t="s">
        <v>10</v>
      </c>
      <c r="C140" s="2" t="s">
        <v>11</v>
      </c>
      <c r="D140" s="2" t="s">
        <v>12</v>
      </c>
      <c r="E140" s="2" t="s">
        <v>12</v>
      </c>
      <c r="F140" s="2" t="s">
        <v>12</v>
      </c>
      <c r="G140" s="2" t="s">
        <v>12</v>
      </c>
      <c r="H140" s="2" t="s">
        <v>12</v>
      </c>
      <c r="I140" s="2" t="s">
        <v>13</v>
      </c>
    </row>
    <row r="141" spans="1:9" x14ac:dyDescent="0.35">
      <c r="A141" t="s">
        <v>152</v>
      </c>
      <c r="B141" t="s">
        <v>10</v>
      </c>
      <c r="C141" t="s">
        <v>11</v>
      </c>
      <c r="D141" t="s">
        <v>12</v>
      </c>
      <c r="E141" t="s">
        <v>12</v>
      </c>
      <c r="F141" t="s">
        <v>12</v>
      </c>
      <c r="G141" t="s">
        <v>12</v>
      </c>
      <c r="H141" t="s">
        <v>12</v>
      </c>
      <c r="I141" t="s">
        <v>13</v>
      </c>
    </row>
    <row r="142" spans="1:9" x14ac:dyDescent="0.35">
      <c r="A142" s="2" t="s">
        <v>153</v>
      </c>
      <c r="B142" s="2" t="s">
        <v>10</v>
      </c>
      <c r="C142" s="2" t="s">
        <v>11</v>
      </c>
      <c r="D142" s="2" t="s">
        <v>12</v>
      </c>
      <c r="E142" s="2" t="s">
        <v>12</v>
      </c>
      <c r="F142" s="2" t="s">
        <v>12</v>
      </c>
      <c r="G142" s="2" t="s">
        <v>12</v>
      </c>
      <c r="H142" s="2" t="s">
        <v>12</v>
      </c>
      <c r="I142" s="2" t="s">
        <v>13</v>
      </c>
    </row>
    <row r="143" spans="1:9" x14ac:dyDescent="0.35">
      <c r="A143" t="s">
        <v>154</v>
      </c>
      <c r="B143" t="s">
        <v>10</v>
      </c>
      <c r="C143" t="s">
        <v>11</v>
      </c>
      <c r="D143" t="s">
        <v>12</v>
      </c>
      <c r="E143" t="s">
        <v>12</v>
      </c>
      <c r="F143" t="s">
        <v>12</v>
      </c>
      <c r="G143" t="s">
        <v>12</v>
      </c>
      <c r="H143" t="s">
        <v>12</v>
      </c>
      <c r="I143" t="s">
        <v>13</v>
      </c>
    </row>
    <row r="144" spans="1:9" x14ac:dyDescent="0.35">
      <c r="A144" s="2" t="s">
        <v>155</v>
      </c>
      <c r="B144" s="2" t="s">
        <v>10</v>
      </c>
      <c r="C144" s="2" t="s">
        <v>11</v>
      </c>
      <c r="D144" s="2" t="s">
        <v>12</v>
      </c>
      <c r="E144" s="2" t="s">
        <v>12</v>
      </c>
      <c r="F144" s="2" t="s">
        <v>12</v>
      </c>
      <c r="G144" s="2" t="s">
        <v>12</v>
      </c>
      <c r="H144" s="2" t="s">
        <v>12</v>
      </c>
      <c r="I144" s="2" t="s">
        <v>13</v>
      </c>
    </row>
    <row r="145" spans="1:9" x14ac:dyDescent="0.35">
      <c r="A145" t="s">
        <v>156</v>
      </c>
      <c r="B145" t="s">
        <v>10</v>
      </c>
      <c r="C145" t="s">
        <v>11</v>
      </c>
      <c r="D145" t="s">
        <v>12</v>
      </c>
      <c r="E145" t="s">
        <v>12</v>
      </c>
      <c r="F145" t="s">
        <v>12</v>
      </c>
      <c r="G145" t="s">
        <v>12</v>
      </c>
      <c r="H145" t="s">
        <v>12</v>
      </c>
      <c r="I145" t="s">
        <v>13</v>
      </c>
    </row>
    <row r="146" spans="1:9" x14ac:dyDescent="0.35">
      <c r="A146" s="2" t="s">
        <v>157</v>
      </c>
      <c r="B146" s="2" t="s">
        <v>10</v>
      </c>
      <c r="C146" s="2" t="s">
        <v>11</v>
      </c>
      <c r="D146" s="2" t="s">
        <v>12</v>
      </c>
      <c r="E146" s="2" t="s">
        <v>12</v>
      </c>
      <c r="F146" s="2" t="s">
        <v>12</v>
      </c>
      <c r="G146" s="2" t="s">
        <v>12</v>
      </c>
      <c r="H146" s="2" t="s">
        <v>12</v>
      </c>
      <c r="I146" s="2" t="s">
        <v>13</v>
      </c>
    </row>
    <row r="147" spans="1:9" x14ac:dyDescent="0.35">
      <c r="A147" t="s">
        <v>158</v>
      </c>
      <c r="B147" t="s">
        <v>10</v>
      </c>
      <c r="C147" t="s">
        <v>11</v>
      </c>
      <c r="D147" t="s">
        <v>12</v>
      </c>
      <c r="E147" t="s">
        <v>12</v>
      </c>
      <c r="F147" t="s">
        <v>12</v>
      </c>
      <c r="G147" t="s">
        <v>12</v>
      </c>
      <c r="H147" t="s">
        <v>12</v>
      </c>
      <c r="I147" t="s">
        <v>13</v>
      </c>
    </row>
    <row r="148" spans="1:9" x14ac:dyDescent="0.35">
      <c r="A148" s="2" t="s">
        <v>159</v>
      </c>
      <c r="B148" s="2" t="s">
        <v>10</v>
      </c>
      <c r="C148" s="2" t="s">
        <v>11</v>
      </c>
      <c r="D148" s="2" t="s">
        <v>12</v>
      </c>
      <c r="E148" s="2" t="s">
        <v>12</v>
      </c>
      <c r="F148" s="2" t="s">
        <v>12</v>
      </c>
      <c r="G148" s="2" t="s">
        <v>12</v>
      </c>
      <c r="H148" s="2" t="s">
        <v>12</v>
      </c>
      <c r="I148" s="2" t="s">
        <v>13</v>
      </c>
    </row>
    <row r="149" spans="1:9" x14ac:dyDescent="0.35">
      <c r="A149" t="s">
        <v>160</v>
      </c>
      <c r="B149" t="s">
        <v>10</v>
      </c>
      <c r="C149" t="s">
        <v>11</v>
      </c>
      <c r="D149" t="s">
        <v>12</v>
      </c>
      <c r="E149" t="s">
        <v>12</v>
      </c>
      <c r="F149" t="s">
        <v>12</v>
      </c>
      <c r="G149" t="s">
        <v>12</v>
      </c>
      <c r="H149" t="s">
        <v>12</v>
      </c>
      <c r="I149" t="s">
        <v>13</v>
      </c>
    </row>
    <row r="150" spans="1:9" x14ac:dyDescent="0.35">
      <c r="A150" s="2" t="s">
        <v>161</v>
      </c>
      <c r="B150" s="2" t="s">
        <v>10</v>
      </c>
      <c r="C150" s="2" t="s">
        <v>11</v>
      </c>
      <c r="D150" s="2" t="s">
        <v>12</v>
      </c>
      <c r="E150" s="2" t="s">
        <v>12</v>
      </c>
      <c r="F150" s="2" t="s">
        <v>12</v>
      </c>
      <c r="G150" s="2" t="s">
        <v>12</v>
      </c>
      <c r="H150" s="2" t="s">
        <v>12</v>
      </c>
      <c r="I150" s="2" t="s">
        <v>13</v>
      </c>
    </row>
    <row r="151" spans="1:9" x14ac:dyDescent="0.35">
      <c r="A151" t="s">
        <v>162</v>
      </c>
      <c r="B151" t="s">
        <v>10</v>
      </c>
      <c r="C151" t="s">
        <v>11</v>
      </c>
      <c r="D151" t="s">
        <v>12</v>
      </c>
      <c r="E151" t="s">
        <v>12</v>
      </c>
      <c r="F151" t="s">
        <v>12</v>
      </c>
      <c r="G151" t="s">
        <v>12</v>
      </c>
      <c r="H151" t="s">
        <v>12</v>
      </c>
      <c r="I151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340C2-E57C-4979-9192-130C77A1B3DB}">
  <sheetPr codeName="Sheet2"/>
  <dimension ref="A1:Q151"/>
  <sheetViews>
    <sheetView topLeftCell="B1" workbookViewId="0">
      <selection activeCell="F8" sqref="F8"/>
    </sheetView>
  </sheetViews>
  <sheetFormatPr defaultRowHeight="14.5" x14ac:dyDescent="0.35"/>
  <cols>
    <col min="1" max="1" width="28.6328125" bestFit="1" customWidth="1"/>
    <col min="2" max="2" width="20.54296875" bestFit="1" customWidth="1"/>
    <col min="3" max="3" width="16.08984375" bestFit="1" customWidth="1"/>
    <col min="4" max="4" width="15.36328125" bestFit="1" customWidth="1"/>
    <col min="5" max="5" width="22.90625" bestFit="1" customWidth="1"/>
    <col min="6" max="6" width="17.90625" style="27" customWidth="1"/>
    <col min="7" max="7" width="13.6328125" customWidth="1"/>
    <col min="8" max="8" width="9.7265625" customWidth="1"/>
    <col min="9" max="9" width="15.7265625" bestFit="1" customWidth="1"/>
    <col min="10" max="10" width="13.1796875" bestFit="1" customWidth="1"/>
    <col min="11" max="11" width="18.26953125" bestFit="1" customWidth="1"/>
    <col min="12" max="12" width="13.7265625" bestFit="1" customWidth="1"/>
    <col min="13" max="13" width="20.54296875" customWidth="1"/>
    <col min="14" max="14" width="14.453125" customWidth="1"/>
    <col min="15" max="15" width="20.7265625" customWidth="1"/>
    <col min="16" max="16" width="17.36328125" customWidth="1"/>
    <col min="17" max="17" width="9.81640625" bestFit="1" customWidth="1"/>
  </cols>
  <sheetData>
    <row r="1" spans="1:17" ht="15" thickBot="1" x14ac:dyDescent="0.4">
      <c r="A1" s="5" t="s">
        <v>324</v>
      </c>
      <c r="B1" s="22" t="s">
        <v>163</v>
      </c>
      <c r="C1" s="6" t="s">
        <v>164</v>
      </c>
      <c r="D1" s="6" t="s">
        <v>165</v>
      </c>
      <c r="E1" s="6" t="s">
        <v>166</v>
      </c>
      <c r="F1" s="29" t="s">
        <v>167</v>
      </c>
      <c r="G1" s="6" t="s">
        <v>168</v>
      </c>
      <c r="H1" s="6" t="s">
        <v>169</v>
      </c>
      <c r="I1" s="6" t="s">
        <v>170</v>
      </c>
      <c r="J1" s="6" t="s">
        <v>171</v>
      </c>
      <c r="K1" s="6" t="s">
        <v>172</v>
      </c>
      <c r="L1" s="6" t="s">
        <v>173</v>
      </c>
      <c r="M1" s="6" t="s">
        <v>174</v>
      </c>
      <c r="N1" s="6" t="s">
        <v>175</v>
      </c>
      <c r="O1" s="6" t="s">
        <v>176</v>
      </c>
      <c r="P1" s="6" t="s">
        <v>177</v>
      </c>
      <c r="Q1" s="6" t="s">
        <v>178</v>
      </c>
    </row>
    <row r="2" spans="1:17" ht="15" thickTop="1" x14ac:dyDescent="0.35">
      <c r="A2" s="7" t="s">
        <v>9</v>
      </c>
      <c r="B2" s="23">
        <f t="shared" ref="B2:B33" ca="1" si="0">TIME(RANDBETWEEN(6,9), RANDBETWEEN(0,59), 0)</f>
        <v>0.35069444444444442</v>
      </c>
      <c r="C2" s="8">
        <v>0.20693287037037036</v>
      </c>
      <c r="D2" s="9">
        <v>98</v>
      </c>
      <c r="E2" s="9">
        <v>0.69540000000000002</v>
      </c>
      <c r="F2" s="28">
        <v>0.55700000000000005</v>
      </c>
      <c r="G2" s="9">
        <v>0.57850000000000001</v>
      </c>
      <c r="H2" s="9">
        <v>1E-4</v>
      </c>
      <c r="I2" s="9">
        <v>0.25679999999999997</v>
      </c>
      <c r="J2" s="9">
        <v>2.2499999999999999E-2</v>
      </c>
      <c r="K2" s="9">
        <v>0</v>
      </c>
      <c r="L2" s="9">
        <v>0.1386</v>
      </c>
      <c r="M2" s="9">
        <v>3.5000000000000001E-3</v>
      </c>
      <c r="N2" s="9">
        <v>2</v>
      </c>
      <c r="O2" s="9">
        <v>3</v>
      </c>
      <c r="P2" s="9">
        <v>0</v>
      </c>
      <c r="Q2" s="9">
        <v>0</v>
      </c>
    </row>
    <row r="3" spans="1:17" x14ac:dyDescent="0.35">
      <c r="A3" s="10" t="s">
        <v>14</v>
      </c>
      <c r="B3" s="24">
        <f t="shared" ca="1" si="0"/>
        <v>0.40138888888888885</v>
      </c>
      <c r="C3" s="11">
        <v>0.20733796296296297</v>
      </c>
      <c r="D3" s="12">
        <v>23</v>
      </c>
      <c r="E3" s="12">
        <v>0.70130000000000003</v>
      </c>
      <c r="F3" s="30">
        <v>0.58030000000000004</v>
      </c>
      <c r="G3" s="12">
        <v>0.58630000000000004</v>
      </c>
      <c r="H3" s="12">
        <v>0</v>
      </c>
      <c r="I3" s="12">
        <v>0.25369999999999998</v>
      </c>
      <c r="J3" s="12">
        <v>1.61E-2</v>
      </c>
      <c r="K3" s="12">
        <v>0</v>
      </c>
      <c r="L3" s="12">
        <v>0.14119999999999999</v>
      </c>
      <c r="M3" s="12">
        <v>2.5999999999999999E-3</v>
      </c>
      <c r="N3" s="12">
        <v>2</v>
      </c>
      <c r="O3" s="12">
        <v>1</v>
      </c>
      <c r="P3" s="12">
        <v>0</v>
      </c>
      <c r="Q3" s="12">
        <v>0</v>
      </c>
    </row>
    <row r="4" spans="1:17" x14ac:dyDescent="0.35">
      <c r="A4" s="13" t="s">
        <v>15</v>
      </c>
      <c r="B4" s="25">
        <f t="shared" ca="1" si="0"/>
        <v>0.37222222222222223</v>
      </c>
      <c r="C4" s="14">
        <v>0.20109953703703703</v>
      </c>
      <c r="D4" s="15">
        <v>28</v>
      </c>
      <c r="E4" s="15">
        <v>0.67769999999999997</v>
      </c>
      <c r="F4" s="31">
        <v>0.5171</v>
      </c>
      <c r="G4" s="15">
        <v>0.54039999999999999</v>
      </c>
      <c r="H4" s="15">
        <v>1.9699999999999999E-2</v>
      </c>
      <c r="I4" s="15">
        <v>0.26450000000000001</v>
      </c>
      <c r="J4" s="15">
        <v>2.2700000000000001E-2</v>
      </c>
      <c r="K4" s="15">
        <v>0</v>
      </c>
      <c r="L4" s="15">
        <v>0.1487</v>
      </c>
      <c r="M4" s="15">
        <v>4.0000000000000001E-3</v>
      </c>
      <c r="N4" s="15">
        <v>6</v>
      </c>
      <c r="O4" s="15">
        <v>3</v>
      </c>
      <c r="P4" s="15">
        <v>4</v>
      </c>
      <c r="Q4" s="15">
        <v>1</v>
      </c>
    </row>
    <row r="5" spans="1:17" x14ac:dyDescent="0.35">
      <c r="A5" s="10" t="s">
        <v>16</v>
      </c>
      <c r="B5" s="24">
        <f t="shared" ca="1" si="0"/>
        <v>0.34861111111111115</v>
      </c>
      <c r="C5" s="11">
        <v>0.17884259259259258</v>
      </c>
      <c r="D5" s="12">
        <v>29</v>
      </c>
      <c r="E5" s="12">
        <v>0.72070000000000001</v>
      </c>
      <c r="F5" s="30">
        <v>0.47720000000000001</v>
      </c>
      <c r="G5" s="12">
        <v>0.498</v>
      </c>
      <c r="H5" s="12">
        <v>1E-4</v>
      </c>
      <c r="I5" s="12">
        <v>0.18360000000000001</v>
      </c>
      <c r="J5" s="12">
        <v>2.76E-2</v>
      </c>
      <c r="K5" s="12">
        <v>0</v>
      </c>
      <c r="L5" s="12">
        <v>0.2838</v>
      </c>
      <c r="M5" s="12">
        <v>7.0000000000000001E-3</v>
      </c>
      <c r="N5" s="12">
        <v>1</v>
      </c>
      <c r="O5" s="12">
        <v>2</v>
      </c>
      <c r="P5" s="12">
        <v>0</v>
      </c>
      <c r="Q5" s="12">
        <v>0</v>
      </c>
    </row>
    <row r="6" spans="1:17" x14ac:dyDescent="0.35">
      <c r="A6" s="13" t="s">
        <v>17</v>
      </c>
      <c r="B6" s="25">
        <f t="shared" ca="1" si="0"/>
        <v>0.2638888888888889</v>
      </c>
      <c r="C6" s="14">
        <v>0.13870370370370369</v>
      </c>
      <c r="D6" s="15">
        <v>93</v>
      </c>
      <c r="E6" s="15">
        <v>0.77990000000000004</v>
      </c>
      <c r="F6" s="31">
        <v>0.43290000000000001</v>
      </c>
      <c r="G6" s="15">
        <v>0.435</v>
      </c>
      <c r="H6" s="15">
        <v>4.0000000000000002E-4</v>
      </c>
      <c r="I6" s="15">
        <v>0.11360000000000001</v>
      </c>
      <c r="J6" s="15">
        <v>1.7899999999999999E-2</v>
      </c>
      <c r="K6" s="15">
        <v>0</v>
      </c>
      <c r="L6" s="15">
        <v>0.41970000000000002</v>
      </c>
      <c r="M6" s="15">
        <v>1.34E-2</v>
      </c>
      <c r="N6" s="15">
        <v>0</v>
      </c>
      <c r="O6" s="15">
        <v>4</v>
      </c>
      <c r="P6" s="15">
        <v>0</v>
      </c>
      <c r="Q6" s="15">
        <v>0</v>
      </c>
    </row>
    <row r="7" spans="1:17" x14ac:dyDescent="0.35">
      <c r="A7" s="10" t="s">
        <v>18</v>
      </c>
      <c r="B7" s="24">
        <f t="shared" ca="1" si="0"/>
        <v>0.37986111111111115</v>
      </c>
      <c r="C7" s="11">
        <v>0.15369212962962964</v>
      </c>
      <c r="D7" s="12">
        <v>92</v>
      </c>
      <c r="E7" s="12">
        <v>0.77600000000000002</v>
      </c>
      <c r="F7" s="30">
        <v>0.65500000000000003</v>
      </c>
      <c r="G7" s="12">
        <v>0.65759999999999996</v>
      </c>
      <c r="H7" s="12">
        <v>8.6E-3</v>
      </c>
      <c r="I7" s="12">
        <v>0.16270000000000001</v>
      </c>
      <c r="J7" s="12">
        <v>7.1199999999999999E-2</v>
      </c>
      <c r="K7" s="12">
        <v>0</v>
      </c>
      <c r="L7" s="12">
        <v>9.0300000000000005E-2</v>
      </c>
      <c r="M7" s="12">
        <v>9.5999999999999992E-3</v>
      </c>
      <c r="N7" s="12">
        <v>2</v>
      </c>
      <c r="O7" s="12">
        <v>8</v>
      </c>
      <c r="P7" s="12">
        <v>2</v>
      </c>
      <c r="Q7" s="12">
        <v>0</v>
      </c>
    </row>
    <row r="8" spans="1:17" x14ac:dyDescent="0.35">
      <c r="A8" s="13" t="s">
        <v>19</v>
      </c>
      <c r="B8" s="25">
        <f t="shared" ca="1" si="0"/>
        <v>0.3611111111111111</v>
      </c>
      <c r="C8" s="14">
        <v>0.17553240740740741</v>
      </c>
      <c r="D8" s="15">
        <v>26</v>
      </c>
      <c r="E8" s="15">
        <v>0.75429999999999997</v>
      </c>
      <c r="F8" s="31">
        <v>0.49480000000000002</v>
      </c>
      <c r="G8" s="15">
        <v>0.50070000000000003</v>
      </c>
      <c r="H8" s="15">
        <v>0</v>
      </c>
      <c r="I8" s="15">
        <v>0.15049999999999999</v>
      </c>
      <c r="J8" s="15">
        <v>8.0999999999999996E-3</v>
      </c>
      <c r="K8" s="15">
        <v>0</v>
      </c>
      <c r="L8" s="15">
        <v>0.3256</v>
      </c>
      <c r="M8" s="15">
        <v>1.4999999999999999E-2</v>
      </c>
      <c r="N8" s="15">
        <v>0</v>
      </c>
      <c r="O8" s="15">
        <v>0</v>
      </c>
      <c r="P8" s="15">
        <v>0</v>
      </c>
      <c r="Q8" s="15">
        <v>0</v>
      </c>
    </row>
    <row r="9" spans="1:17" x14ac:dyDescent="0.35">
      <c r="A9" s="10" t="s">
        <v>20</v>
      </c>
      <c r="B9" s="24">
        <f t="shared" ca="1" si="0"/>
        <v>0.41388888888888892</v>
      </c>
      <c r="C9" s="11">
        <v>0.24453703703703702</v>
      </c>
      <c r="D9" s="12">
        <v>90</v>
      </c>
      <c r="E9" s="12">
        <v>0.72350000000000003</v>
      </c>
      <c r="F9" s="30">
        <v>0.55130000000000001</v>
      </c>
      <c r="G9" s="12">
        <v>0.58179999999999998</v>
      </c>
      <c r="H9" s="12">
        <v>8.6999999999999994E-3</v>
      </c>
      <c r="I9" s="12">
        <v>0.22789999999999999</v>
      </c>
      <c r="J9" s="12">
        <v>4.2200000000000001E-2</v>
      </c>
      <c r="K9" s="12">
        <v>0</v>
      </c>
      <c r="L9" s="12">
        <v>0.13150000000000001</v>
      </c>
      <c r="M9" s="12">
        <v>7.7999999999999996E-3</v>
      </c>
      <c r="N9" s="12">
        <v>0</v>
      </c>
      <c r="O9" s="12">
        <v>8</v>
      </c>
      <c r="P9" s="12">
        <v>3</v>
      </c>
      <c r="Q9" s="12">
        <v>1</v>
      </c>
    </row>
    <row r="10" spans="1:17" x14ac:dyDescent="0.35">
      <c r="A10" s="13" t="s">
        <v>21</v>
      </c>
      <c r="B10" s="25">
        <f t="shared" ca="1" si="0"/>
        <v>0.30763888888888891</v>
      </c>
      <c r="C10" s="14">
        <v>0.20311342592592593</v>
      </c>
      <c r="D10" s="15">
        <v>89</v>
      </c>
      <c r="E10" s="15">
        <v>0.6825</v>
      </c>
      <c r="F10" s="31">
        <v>0.55210000000000004</v>
      </c>
      <c r="G10" s="15">
        <v>0.57530000000000003</v>
      </c>
      <c r="H10" s="15">
        <v>6.9999999999999999E-4</v>
      </c>
      <c r="I10" s="15">
        <v>0.2656</v>
      </c>
      <c r="J10" s="15">
        <v>1.6899999999999998E-2</v>
      </c>
      <c r="K10" s="15">
        <v>0</v>
      </c>
      <c r="L10" s="15">
        <v>0.1351</v>
      </c>
      <c r="M10" s="15">
        <v>6.4000000000000003E-3</v>
      </c>
      <c r="N10" s="15">
        <v>4</v>
      </c>
      <c r="O10" s="15">
        <v>0</v>
      </c>
      <c r="P10" s="15">
        <v>0</v>
      </c>
      <c r="Q10" s="15">
        <v>0</v>
      </c>
    </row>
    <row r="11" spans="1:17" x14ac:dyDescent="0.35">
      <c r="A11" s="10" t="s">
        <v>22</v>
      </c>
      <c r="B11" s="24">
        <f t="shared" ca="1" si="0"/>
        <v>0.31666666666666665</v>
      </c>
      <c r="C11" s="11">
        <v>0.20702546296296295</v>
      </c>
      <c r="D11" s="12">
        <v>54</v>
      </c>
      <c r="E11" s="12">
        <v>0.69189999999999996</v>
      </c>
      <c r="F11" s="30">
        <v>0.56869999999999998</v>
      </c>
      <c r="G11" s="12">
        <v>0.58520000000000005</v>
      </c>
      <c r="H11" s="12">
        <v>2.0000000000000001E-4</v>
      </c>
      <c r="I11" s="12">
        <v>0.26119999999999999</v>
      </c>
      <c r="J11" s="12">
        <v>1.01E-2</v>
      </c>
      <c r="K11" s="12">
        <v>0</v>
      </c>
      <c r="L11" s="12">
        <v>0.13969999999999999</v>
      </c>
      <c r="M11" s="12">
        <v>3.7000000000000002E-3</v>
      </c>
      <c r="N11" s="12">
        <v>2</v>
      </c>
      <c r="O11" s="12">
        <v>0</v>
      </c>
      <c r="P11" s="12">
        <v>0</v>
      </c>
      <c r="Q11" s="12">
        <v>0</v>
      </c>
    </row>
    <row r="12" spans="1:17" x14ac:dyDescent="0.35">
      <c r="A12" s="13" t="s">
        <v>23</v>
      </c>
      <c r="B12" s="25">
        <f t="shared" ca="1" si="0"/>
        <v>0.41180555555555554</v>
      </c>
      <c r="C12" s="14">
        <v>0.20518518518518519</v>
      </c>
      <c r="D12" s="15">
        <v>87</v>
      </c>
      <c r="E12" s="15">
        <v>0.70099999999999996</v>
      </c>
      <c r="F12" s="31">
        <v>0.56040000000000001</v>
      </c>
      <c r="G12" s="15">
        <v>0.56899999999999995</v>
      </c>
      <c r="H12" s="15">
        <v>1.0699999999999999E-2</v>
      </c>
      <c r="I12" s="15">
        <v>0.24990000000000001</v>
      </c>
      <c r="J12" s="15">
        <v>2.2599999999999999E-2</v>
      </c>
      <c r="K12" s="15">
        <v>0</v>
      </c>
      <c r="L12" s="15">
        <v>0.14119999999999999</v>
      </c>
      <c r="M12" s="15">
        <v>6.7000000000000002E-3</v>
      </c>
      <c r="N12" s="15">
        <v>2</v>
      </c>
      <c r="O12" s="15">
        <v>3</v>
      </c>
      <c r="P12" s="15">
        <v>3</v>
      </c>
      <c r="Q12" s="15">
        <v>0</v>
      </c>
    </row>
    <row r="13" spans="1:17" x14ac:dyDescent="0.35">
      <c r="A13" s="10" t="s">
        <v>24</v>
      </c>
      <c r="B13" s="24">
        <f t="shared" ca="1" si="0"/>
        <v>0.32222222222222224</v>
      </c>
      <c r="C13" s="11">
        <v>0.15812499999999999</v>
      </c>
      <c r="D13" s="12">
        <v>65</v>
      </c>
      <c r="E13" s="12">
        <v>0.71240000000000003</v>
      </c>
      <c r="F13" s="30">
        <v>0.41549999999999998</v>
      </c>
      <c r="G13" s="12">
        <v>0.51629999999999998</v>
      </c>
      <c r="H13" s="12">
        <v>1E-4</v>
      </c>
      <c r="I13" s="12">
        <v>0.1663</v>
      </c>
      <c r="J13" s="12">
        <v>5.7099999999999998E-2</v>
      </c>
      <c r="K13" s="12">
        <v>0</v>
      </c>
      <c r="L13" s="12">
        <v>0.3745</v>
      </c>
      <c r="M13" s="12">
        <v>9.1000000000000004E-3</v>
      </c>
      <c r="N13" s="12">
        <v>0</v>
      </c>
      <c r="O13" s="12">
        <v>8</v>
      </c>
      <c r="P13" s="12">
        <v>0</v>
      </c>
      <c r="Q13" s="12">
        <v>0</v>
      </c>
    </row>
    <row r="14" spans="1:17" x14ac:dyDescent="0.35">
      <c r="A14" s="13" t="s">
        <v>25</v>
      </c>
      <c r="B14" s="25">
        <f t="shared" ca="1" si="0"/>
        <v>0.26805555555555555</v>
      </c>
      <c r="C14" s="14">
        <v>0.19699074074074074</v>
      </c>
      <c r="D14" s="15">
        <v>85</v>
      </c>
      <c r="E14" s="15">
        <v>0.76959999999999995</v>
      </c>
      <c r="F14" s="31">
        <v>0.50029999999999997</v>
      </c>
      <c r="G14" s="15">
        <v>0.53139999999999998</v>
      </c>
      <c r="H14" s="15">
        <v>8.8000000000000005E-3</v>
      </c>
      <c r="I14" s="15">
        <v>0.26229999999999998</v>
      </c>
      <c r="J14" s="15">
        <v>4.4299999999999999E-2</v>
      </c>
      <c r="K14" s="15">
        <v>0</v>
      </c>
      <c r="L14" s="15">
        <v>0.14710000000000001</v>
      </c>
      <c r="M14" s="15">
        <v>6.1000000000000004E-3</v>
      </c>
      <c r="N14" s="15">
        <v>1</v>
      </c>
      <c r="O14" s="15">
        <v>9</v>
      </c>
      <c r="P14" s="15">
        <v>0</v>
      </c>
      <c r="Q14" s="15">
        <v>0</v>
      </c>
    </row>
    <row r="15" spans="1:17" x14ac:dyDescent="0.35">
      <c r="A15" s="10" t="s">
        <v>26</v>
      </c>
      <c r="B15" s="24">
        <f t="shared" ca="1" si="0"/>
        <v>0.3576388888888889</v>
      </c>
      <c r="C15" s="11">
        <v>0.19475694444444444</v>
      </c>
      <c r="D15" s="12">
        <v>65</v>
      </c>
      <c r="E15" s="12">
        <v>0.68469999999999998</v>
      </c>
      <c r="F15" s="30">
        <v>0.51400000000000001</v>
      </c>
      <c r="G15" s="12">
        <v>0.53900000000000003</v>
      </c>
      <c r="H15" s="12">
        <v>2.81E-2</v>
      </c>
      <c r="I15" s="12">
        <v>0.20330000000000001</v>
      </c>
      <c r="J15" s="12">
        <v>4.4299999999999999E-2</v>
      </c>
      <c r="K15" s="12">
        <v>0</v>
      </c>
      <c r="L15" s="12">
        <v>0.15490000000000001</v>
      </c>
      <c r="M15" s="12">
        <v>9.5999999999999992E-3</v>
      </c>
      <c r="N15" s="12">
        <v>1</v>
      </c>
      <c r="O15" s="12">
        <v>8</v>
      </c>
      <c r="P15" s="12">
        <v>3</v>
      </c>
      <c r="Q15" s="12">
        <v>1</v>
      </c>
    </row>
    <row r="16" spans="1:17" x14ac:dyDescent="0.35">
      <c r="A16" s="13" t="s">
        <v>27</v>
      </c>
      <c r="B16" s="25">
        <f t="shared" ca="1" si="0"/>
        <v>0.33124999999999999</v>
      </c>
      <c r="C16" s="14">
        <v>0.2066550925925926</v>
      </c>
      <c r="D16" s="15">
        <v>83</v>
      </c>
      <c r="E16" s="15">
        <v>0.69279999999999997</v>
      </c>
      <c r="F16" s="31">
        <v>0.51060000000000005</v>
      </c>
      <c r="G16" s="15">
        <v>0.53900000000000003</v>
      </c>
      <c r="H16" s="15">
        <v>2.81E-2</v>
      </c>
      <c r="I16" s="15">
        <v>0.23669999999999999</v>
      </c>
      <c r="J16" s="15">
        <v>3.1800000000000002E-2</v>
      </c>
      <c r="K16" s="15">
        <v>0</v>
      </c>
      <c r="L16" s="15">
        <v>0.15490000000000001</v>
      </c>
      <c r="M16" s="15">
        <v>9.5999999999999992E-3</v>
      </c>
      <c r="N16" s="15">
        <v>2</v>
      </c>
      <c r="O16" s="15">
        <v>4</v>
      </c>
      <c r="P16" s="15">
        <v>7</v>
      </c>
      <c r="Q16" s="15">
        <v>0</v>
      </c>
    </row>
    <row r="17" spans="1:17" x14ac:dyDescent="0.35">
      <c r="A17" s="10" t="s">
        <v>28</v>
      </c>
      <c r="B17" s="24">
        <f t="shared" ca="1" si="0"/>
        <v>0.3444444444444445</v>
      </c>
      <c r="C17" s="11">
        <v>0.17390046296296297</v>
      </c>
      <c r="D17" s="12">
        <v>82</v>
      </c>
      <c r="E17" s="12">
        <v>0.70799999999999996</v>
      </c>
      <c r="F17" s="30">
        <v>0.4829</v>
      </c>
      <c r="G17" s="12">
        <v>0.4854</v>
      </c>
      <c r="H17" s="12">
        <v>2.0000000000000001E-4</v>
      </c>
      <c r="I17" s="12">
        <v>0.20330000000000001</v>
      </c>
      <c r="J17" s="12">
        <v>1.7999999999999999E-2</v>
      </c>
      <c r="K17" s="12">
        <v>0</v>
      </c>
      <c r="L17" s="12">
        <v>0.2903</v>
      </c>
      <c r="M17" s="12">
        <v>2.8999999999999998E-3</v>
      </c>
      <c r="N17" s="12">
        <v>2</v>
      </c>
      <c r="O17" s="12">
        <v>1</v>
      </c>
      <c r="P17" s="12">
        <v>0</v>
      </c>
      <c r="Q17" s="12">
        <v>0</v>
      </c>
    </row>
    <row r="18" spans="1:17" x14ac:dyDescent="0.35">
      <c r="A18" s="13" t="s">
        <v>29</v>
      </c>
      <c r="B18" s="25">
        <f t="shared" ca="1" si="0"/>
        <v>0.30833333333333335</v>
      </c>
      <c r="C18" s="14">
        <v>0.1973611111111111</v>
      </c>
      <c r="D18" s="15">
        <v>81</v>
      </c>
      <c r="E18" s="15">
        <v>0.6754</v>
      </c>
      <c r="F18" s="31">
        <v>0.5736</v>
      </c>
      <c r="G18" s="15">
        <v>0.58609999999999995</v>
      </c>
      <c r="H18" s="15">
        <v>0</v>
      </c>
      <c r="I18" s="15">
        <v>0.25480000000000003</v>
      </c>
      <c r="J18" s="15">
        <v>8.6E-3</v>
      </c>
      <c r="K18" s="15">
        <v>0</v>
      </c>
      <c r="L18" s="15">
        <v>0.11940000000000001</v>
      </c>
      <c r="M18" s="15">
        <v>6.0000000000000001E-3</v>
      </c>
      <c r="N18" s="15">
        <v>1</v>
      </c>
      <c r="O18" s="15">
        <v>0</v>
      </c>
      <c r="P18" s="15">
        <v>1</v>
      </c>
      <c r="Q18" s="15">
        <v>0</v>
      </c>
    </row>
    <row r="19" spans="1:17" x14ac:dyDescent="0.35">
      <c r="A19" s="10" t="s">
        <v>30</v>
      </c>
      <c r="B19" s="24">
        <f t="shared" ca="1" si="0"/>
        <v>0.39374999999999999</v>
      </c>
      <c r="C19" s="11">
        <v>0.20702546296296295</v>
      </c>
      <c r="D19" s="12">
        <v>80</v>
      </c>
      <c r="E19" s="12">
        <v>0.69850000000000001</v>
      </c>
      <c r="F19" s="30">
        <v>0.56430000000000002</v>
      </c>
      <c r="G19" s="12">
        <v>0.59160000000000001</v>
      </c>
      <c r="H19" s="12">
        <v>0</v>
      </c>
      <c r="I19" s="12">
        <v>0.14940000000000001</v>
      </c>
      <c r="J19" s="12">
        <v>2.4799999999999999E-2</v>
      </c>
      <c r="K19" s="12">
        <v>0</v>
      </c>
      <c r="L19" s="12">
        <v>0.31950000000000001</v>
      </c>
      <c r="M19" s="12">
        <v>6.0000000000000001E-3</v>
      </c>
      <c r="N19" s="12">
        <v>0</v>
      </c>
      <c r="O19" s="12">
        <v>0</v>
      </c>
      <c r="P19" s="12">
        <v>0</v>
      </c>
      <c r="Q19" s="12">
        <v>0</v>
      </c>
    </row>
    <row r="20" spans="1:17" x14ac:dyDescent="0.35">
      <c r="A20" s="13" t="s">
        <v>31</v>
      </c>
      <c r="B20" s="25">
        <f t="shared" ca="1" si="0"/>
        <v>0.25069444444444444</v>
      </c>
      <c r="C20" s="14">
        <v>0.18267361111111111</v>
      </c>
      <c r="D20" s="15">
        <v>79</v>
      </c>
      <c r="E20" s="15">
        <v>0.76549999999999996</v>
      </c>
      <c r="F20" s="31">
        <v>0.46970000000000001</v>
      </c>
      <c r="G20" s="15">
        <v>0.47860000000000003</v>
      </c>
      <c r="H20" s="15">
        <v>2.1399999999999999E-2</v>
      </c>
      <c r="I20" s="15">
        <v>0.2477</v>
      </c>
      <c r="J20" s="15">
        <v>1.3100000000000001E-2</v>
      </c>
      <c r="K20" s="15">
        <v>0</v>
      </c>
      <c r="L20" s="15">
        <v>0.14960000000000001</v>
      </c>
      <c r="M20" s="15">
        <v>6.0000000000000001E-3</v>
      </c>
      <c r="N20" s="15">
        <v>0</v>
      </c>
      <c r="O20" s="15">
        <v>0</v>
      </c>
      <c r="P20" s="15">
        <v>0</v>
      </c>
      <c r="Q20" s="15">
        <v>0</v>
      </c>
    </row>
    <row r="21" spans="1:17" x14ac:dyDescent="0.35">
      <c r="A21" s="10" t="s">
        <v>179</v>
      </c>
      <c r="B21" s="24">
        <f t="shared" ca="1" si="0"/>
        <v>0.35486111111111113</v>
      </c>
      <c r="C21" s="11">
        <v>0.20710648148148147</v>
      </c>
      <c r="D21" s="12">
        <v>78</v>
      </c>
      <c r="E21" s="12">
        <v>0.6986</v>
      </c>
      <c r="F21" s="30">
        <v>0.57499999999999996</v>
      </c>
      <c r="G21" s="12">
        <v>0.58209999999999995</v>
      </c>
      <c r="H21" s="12">
        <v>3.8E-3</v>
      </c>
      <c r="I21" s="12">
        <v>0.2477</v>
      </c>
      <c r="J21" s="12">
        <v>1.3100000000000001E-2</v>
      </c>
      <c r="K21" s="12">
        <v>0</v>
      </c>
      <c r="L21" s="12">
        <v>0.14960000000000001</v>
      </c>
      <c r="M21" s="12">
        <v>6.0000000000000001E-3</v>
      </c>
      <c r="N21" s="12">
        <v>0</v>
      </c>
      <c r="O21" s="12">
        <v>0</v>
      </c>
      <c r="P21" s="12">
        <v>0</v>
      </c>
      <c r="Q21" s="12">
        <v>0</v>
      </c>
    </row>
    <row r="22" spans="1:17" x14ac:dyDescent="0.35">
      <c r="A22" s="13" t="s">
        <v>180</v>
      </c>
      <c r="B22" s="25">
        <f t="shared" ca="1" si="0"/>
        <v>0.28888888888888892</v>
      </c>
      <c r="C22" s="14">
        <v>0.20693287037037036</v>
      </c>
      <c r="D22" s="15">
        <v>60</v>
      </c>
      <c r="E22" s="15">
        <v>0.69540000000000002</v>
      </c>
      <c r="F22" s="31">
        <v>0.55700000000000005</v>
      </c>
      <c r="G22" s="15">
        <v>0.57850000000000001</v>
      </c>
      <c r="H22" s="15">
        <v>1E-4</v>
      </c>
      <c r="I22" s="15">
        <v>0.25679999999999997</v>
      </c>
      <c r="J22" s="15">
        <v>2.2499999999999999E-2</v>
      </c>
      <c r="K22" s="15">
        <v>0</v>
      </c>
      <c r="L22" s="15">
        <v>0.1386</v>
      </c>
      <c r="M22" s="15">
        <v>3.5000000000000001E-3</v>
      </c>
      <c r="N22" s="15">
        <v>2</v>
      </c>
      <c r="O22" s="15">
        <v>3</v>
      </c>
      <c r="P22" s="15">
        <v>0</v>
      </c>
      <c r="Q22" s="15">
        <v>0</v>
      </c>
    </row>
    <row r="23" spans="1:17" x14ac:dyDescent="0.35">
      <c r="A23" s="10" t="s">
        <v>181</v>
      </c>
      <c r="B23" s="24">
        <f t="shared" ca="1" si="0"/>
        <v>0.39861111111111108</v>
      </c>
      <c r="C23" s="11">
        <v>0.20693287037037036</v>
      </c>
      <c r="D23" s="12">
        <v>74</v>
      </c>
      <c r="E23" s="12">
        <v>0.69540000000000002</v>
      </c>
      <c r="F23" s="30">
        <v>0.55700000000000005</v>
      </c>
      <c r="G23" s="12">
        <v>0.57850000000000001</v>
      </c>
      <c r="H23" s="12">
        <v>1E-4</v>
      </c>
      <c r="I23" s="12">
        <v>0.25679999999999997</v>
      </c>
      <c r="J23" s="12">
        <v>2.2499999999999999E-2</v>
      </c>
      <c r="K23" s="12">
        <v>0</v>
      </c>
      <c r="L23" s="12">
        <v>0.1386</v>
      </c>
      <c r="M23" s="12">
        <v>3.5000000000000001E-3</v>
      </c>
      <c r="N23" s="12">
        <v>2</v>
      </c>
      <c r="O23" s="12">
        <v>3</v>
      </c>
      <c r="P23" s="12">
        <v>0</v>
      </c>
      <c r="Q23" s="12">
        <v>0</v>
      </c>
    </row>
    <row r="24" spans="1:17" x14ac:dyDescent="0.35">
      <c r="A24" s="13" t="s">
        <v>182</v>
      </c>
      <c r="B24" s="25">
        <f t="shared" ca="1" si="0"/>
        <v>0.30486111111111108</v>
      </c>
      <c r="C24" s="14">
        <v>0.20693287037037036</v>
      </c>
      <c r="D24" s="15">
        <v>58</v>
      </c>
      <c r="E24" s="15">
        <v>0.69540000000000002</v>
      </c>
      <c r="F24" s="31">
        <v>0.55700000000000005</v>
      </c>
      <c r="G24" s="15">
        <v>0.57850000000000001</v>
      </c>
      <c r="H24" s="15">
        <v>1E-4</v>
      </c>
      <c r="I24" s="15">
        <v>0.25679999999999997</v>
      </c>
      <c r="J24" s="15">
        <v>2.2499999999999999E-2</v>
      </c>
      <c r="K24" s="15">
        <v>0</v>
      </c>
      <c r="L24" s="15">
        <v>0.1386</v>
      </c>
      <c r="M24" s="15">
        <v>3.5000000000000001E-3</v>
      </c>
      <c r="N24" s="15">
        <v>2</v>
      </c>
      <c r="O24" s="15">
        <v>3</v>
      </c>
      <c r="P24" s="15">
        <v>0</v>
      </c>
      <c r="Q24" s="15">
        <v>0</v>
      </c>
    </row>
    <row r="25" spans="1:17" x14ac:dyDescent="0.35">
      <c r="A25" s="10" t="s">
        <v>183</v>
      </c>
      <c r="B25" s="24">
        <f t="shared" ca="1" si="0"/>
        <v>0.39097222222222222</v>
      </c>
      <c r="C25" s="11">
        <v>0.20693287037037036</v>
      </c>
      <c r="D25" s="12">
        <v>65</v>
      </c>
      <c r="E25" s="12">
        <v>0.69540000000000002</v>
      </c>
      <c r="F25" s="30">
        <v>0.55700000000000005</v>
      </c>
      <c r="G25" s="12">
        <v>0.57850000000000001</v>
      </c>
      <c r="H25" s="12">
        <v>1E-4</v>
      </c>
      <c r="I25" s="12">
        <v>0.25679999999999997</v>
      </c>
      <c r="J25" s="12">
        <v>2.2499999999999999E-2</v>
      </c>
      <c r="K25" s="12">
        <v>0</v>
      </c>
      <c r="L25" s="12">
        <v>0.1386</v>
      </c>
      <c r="M25" s="12">
        <v>3.5000000000000001E-3</v>
      </c>
      <c r="N25" s="12">
        <v>2</v>
      </c>
      <c r="O25" s="12">
        <v>3</v>
      </c>
      <c r="P25" s="12">
        <v>0</v>
      </c>
      <c r="Q25" s="12">
        <v>0</v>
      </c>
    </row>
    <row r="26" spans="1:17" x14ac:dyDescent="0.35">
      <c r="A26" s="13" t="s">
        <v>184</v>
      </c>
      <c r="B26" s="25">
        <f t="shared" ca="1" si="0"/>
        <v>0.38263888888888892</v>
      </c>
      <c r="C26" s="14">
        <v>0.20693287037037036</v>
      </c>
      <c r="D26" s="15">
        <v>64</v>
      </c>
      <c r="E26" s="15">
        <v>0.69540000000000002</v>
      </c>
      <c r="F26" s="31">
        <v>0.55700000000000005</v>
      </c>
      <c r="G26" s="15">
        <v>0.57850000000000001</v>
      </c>
      <c r="H26" s="15">
        <v>1E-4</v>
      </c>
      <c r="I26" s="15">
        <v>0.25679999999999997</v>
      </c>
      <c r="J26" s="15">
        <v>2.2499999999999999E-2</v>
      </c>
      <c r="K26" s="15">
        <v>0</v>
      </c>
      <c r="L26" s="15">
        <v>0.1386</v>
      </c>
      <c r="M26" s="15">
        <v>3.5000000000000001E-3</v>
      </c>
      <c r="N26" s="15">
        <v>2</v>
      </c>
      <c r="O26" s="15">
        <v>3</v>
      </c>
      <c r="P26" s="15">
        <v>0</v>
      </c>
      <c r="Q26" s="15">
        <v>0</v>
      </c>
    </row>
    <row r="27" spans="1:17" x14ac:dyDescent="0.35">
      <c r="A27" s="10" t="s">
        <v>185</v>
      </c>
      <c r="B27" s="24">
        <f t="shared" ca="1" si="0"/>
        <v>0.35486111111111113</v>
      </c>
      <c r="C27" s="11">
        <v>0.20693287037037036</v>
      </c>
      <c r="D27" s="12">
        <v>95</v>
      </c>
      <c r="E27" s="12">
        <v>0.69540000000000002</v>
      </c>
      <c r="F27" s="30">
        <v>0.55700000000000005</v>
      </c>
      <c r="G27" s="12">
        <v>0.57850000000000001</v>
      </c>
      <c r="H27" s="12">
        <v>1E-4</v>
      </c>
      <c r="I27" s="12">
        <v>0.25679999999999997</v>
      </c>
      <c r="J27" s="12">
        <v>2.2499999999999999E-2</v>
      </c>
      <c r="K27" s="12">
        <v>0</v>
      </c>
      <c r="L27" s="12">
        <v>0.1386</v>
      </c>
      <c r="M27" s="12">
        <v>3.5000000000000001E-3</v>
      </c>
      <c r="N27" s="12">
        <v>2</v>
      </c>
      <c r="O27" s="12">
        <v>3</v>
      </c>
      <c r="P27" s="12">
        <v>0</v>
      </c>
      <c r="Q27" s="12">
        <v>0</v>
      </c>
    </row>
    <row r="28" spans="1:17" x14ac:dyDescent="0.35">
      <c r="A28" s="13" t="s">
        <v>186</v>
      </c>
      <c r="B28" s="25">
        <f t="shared" ca="1" si="0"/>
        <v>0.29652777777777778</v>
      </c>
      <c r="C28" s="14">
        <v>0.20693287037037036</v>
      </c>
      <c r="D28" s="15">
        <v>97</v>
      </c>
      <c r="E28" s="15">
        <v>0.69540000000000002</v>
      </c>
      <c r="F28" s="31">
        <v>0.55700000000000005</v>
      </c>
      <c r="G28" s="15">
        <v>0.57850000000000001</v>
      </c>
      <c r="H28" s="15">
        <v>1E-4</v>
      </c>
      <c r="I28" s="15">
        <v>0.25679999999999997</v>
      </c>
      <c r="J28" s="15">
        <v>2.2499999999999999E-2</v>
      </c>
      <c r="K28" s="15">
        <v>0</v>
      </c>
      <c r="L28" s="15">
        <v>0.1386</v>
      </c>
      <c r="M28" s="15">
        <v>3.5000000000000001E-3</v>
      </c>
      <c r="N28" s="15">
        <v>2</v>
      </c>
      <c r="O28" s="15">
        <v>3</v>
      </c>
      <c r="P28" s="15">
        <v>0</v>
      </c>
      <c r="Q28" s="15">
        <v>0</v>
      </c>
    </row>
    <row r="29" spans="1:17" x14ac:dyDescent="0.35">
      <c r="A29" s="10" t="s">
        <v>187</v>
      </c>
      <c r="B29" s="24">
        <f t="shared" ca="1" si="0"/>
        <v>0.25972222222222224</v>
      </c>
      <c r="C29" s="11">
        <v>0.20693287037037036</v>
      </c>
      <c r="D29" s="12">
        <v>36</v>
      </c>
      <c r="E29" s="12">
        <v>0.69540000000000002</v>
      </c>
      <c r="F29" s="30">
        <v>0.55700000000000005</v>
      </c>
      <c r="G29" s="12">
        <v>0.57850000000000001</v>
      </c>
      <c r="H29" s="12">
        <v>1E-4</v>
      </c>
      <c r="I29" s="12">
        <v>0.25679999999999997</v>
      </c>
      <c r="J29" s="12">
        <v>2.2499999999999999E-2</v>
      </c>
      <c r="K29" s="12">
        <v>0</v>
      </c>
      <c r="L29" s="12">
        <v>0.1386</v>
      </c>
      <c r="M29" s="12">
        <v>3.5000000000000001E-3</v>
      </c>
      <c r="N29" s="12">
        <v>2</v>
      </c>
      <c r="O29" s="12">
        <v>3</v>
      </c>
      <c r="P29" s="12">
        <v>0</v>
      </c>
      <c r="Q29" s="12">
        <v>0</v>
      </c>
    </row>
    <row r="30" spans="1:17" x14ac:dyDescent="0.35">
      <c r="A30" s="13" t="s">
        <v>188</v>
      </c>
      <c r="B30" s="25">
        <f t="shared" ca="1" si="0"/>
        <v>0.38958333333333334</v>
      </c>
      <c r="C30" s="14">
        <v>0.20693287037037036</v>
      </c>
      <c r="D30" s="15">
        <v>49</v>
      </c>
      <c r="E30" s="15">
        <v>0.69540000000000002</v>
      </c>
      <c r="F30" s="31">
        <v>0.55700000000000005</v>
      </c>
      <c r="G30" s="15">
        <v>0.57850000000000001</v>
      </c>
      <c r="H30" s="15">
        <v>1E-4</v>
      </c>
      <c r="I30" s="15">
        <v>0.25679999999999997</v>
      </c>
      <c r="J30" s="15">
        <v>2.2499999999999999E-2</v>
      </c>
      <c r="K30" s="15">
        <v>0</v>
      </c>
      <c r="L30" s="15">
        <v>0.1386</v>
      </c>
      <c r="M30" s="15">
        <v>3.5000000000000001E-3</v>
      </c>
      <c r="N30" s="15">
        <v>2</v>
      </c>
      <c r="O30" s="15">
        <v>3</v>
      </c>
      <c r="P30" s="15">
        <v>0</v>
      </c>
      <c r="Q30" s="15">
        <v>0</v>
      </c>
    </row>
    <row r="31" spans="1:17" x14ac:dyDescent="0.35">
      <c r="A31" s="10" t="s">
        <v>189</v>
      </c>
      <c r="B31" s="24">
        <f t="shared" ca="1" si="0"/>
        <v>0.27013888888888887</v>
      </c>
      <c r="C31" s="11">
        <v>0.20693287037037036</v>
      </c>
      <c r="D31" s="12">
        <v>64</v>
      </c>
      <c r="E31" s="12">
        <v>0.69540000000000002</v>
      </c>
      <c r="F31" s="30">
        <v>0.55700000000000005</v>
      </c>
      <c r="G31" s="12">
        <v>0.57850000000000001</v>
      </c>
      <c r="H31" s="12">
        <v>1E-4</v>
      </c>
      <c r="I31" s="12">
        <v>0.25679999999999997</v>
      </c>
      <c r="J31" s="12">
        <v>2.2499999999999999E-2</v>
      </c>
      <c r="K31" s="12">
        <v>0</v>
      </c>
      <c r="L31" s="12">
        <v>0.1386</v>
      </c>
      <c r="M31" s="12">
        <v>3.5000000000000001E-3</v>
      </c>
      <c r="N31" s="12">
        <v>2</v>
      </c>
      <c r="O31" s="12">
        <v>3</v>
      </c>
      <c r="P31" s="12">
        <v>0</v>
      </c>
      <c r="Q31" s="12">
        <v>0</v>
      </c>
    </row>
    <row r="32" spans="1:17" x14ac:dyDescent="0.35">
      <c r="A32" s="13" t="s">
        <v>190</v>
      </c>
      <c r="B32" s="25">
        <f t="shared" ca="1" si="0"/>
        <v>0.37916666666666665</v>
      </c>
      <c r="C32" s="14">
        <v>0.20693287037037036</v>
      </c>
      <c r="D32" s="15">
        <v>79</v>
      </c>
      <c r="E32" s="15">
        <v>0.69540000000000002</v>
      </c>
      <c r="F32" s="31">
        <v>0.55700000000000005</v>
      </c>
      <c r="G32" s="15">
        <v>0.57850000000000001</v>
      </c>
      <c r="H32" s="15">
        <v>1E-4</v>
      </c>
      <c r="I32" s="15">
        <v>0.25679999999999997</v>
      </c>
      <c r="J32" s="15">
        <v>2.2499999999999999E-2</v>
      </c>
      <c r="K32" s="15">
        <v>0</v>
      </c>
      <c r="L32" s="15">
        <v>0.1386</v>
      </c>
      <c r="M32" s="15">
        <v>3.5000000000000001E-3</v>
      </c>
      <c r="N32" s="15">
        <v>2</v>
      </c>
      <c r="O32" s="15">
        <v>3</v>
      </c>
      <c r="P32" s="15">
        <v>0</v>
      </c>
      <c r="Q32" s="15">
        <v>0</v>
      </c>
    </row>
    <row r="33" spans="1:17" x14ac:dyDescent="0.35">
      <c r="A33" s="10" t="s">
        <v>191</v>
      </c>
      <c r="B33" s="24">
        <f t="shared" ca="1" si="0"/>
        <v>0.27847222222222223</v>
      </c>
      <c r="C33" s="11">
        <v>0.20693287037037036</v>
      </c>
      <c r="D33" s="12">
        <v>79</v>
      </c>
      <c r="E33" s="12">
        <v>0.69540000000000002</v>
      </c>
      <c r="F33" s="30">
        <v>0.55700000000000005</v>
      </c>
      <c r="G33" s="12">
        <v>0.57850000000000001</v>
      </c>
      <c r="H33" s="12">
        <v>1E-4</v>
      </c>
      <c r="I33" s="12">
        <v>0.25679999999999997</v>
      </c>
      <c r="J33" s="12">
        <v>2.2499999999999999E-2</v>
      </c>
      <c r="K33" s="12">
        <v>0</v>
      </c>
      <c r="L33" s="12">
        <v>0.1386</v>
      </c>
      <c r="M33" s="12">
        <v>3.5000000000000001E-3</v>
      </c>
      <c r="N33" s="12">
        <v>2</v>
      </c>
      <c r="O33" s="12">
        <v>3</v>
      </c>
      <c r="P33" s="12">
        <v>0</v>
      </c>
      <c r="Q33" s="12">
        <v>0</v>
      </c>
    </row>
    <row r="34" spans="1:17" x14ac:dyDescent="0.35">
      <c r="A34" s="13" t="s">
        <v>192</v>
      </c>
      <c r="B34" s="25">
        <f t="shared" ref="B34:B65" ca="1" si="1">TIME(RANDBETWEEN(6,9), RANDBETWEEN(0,59), 0)</f>
        <v>0.27430555555555552</v>
      </c>
      <c r="C34" s="14">
        <v>0.20693287037037036</v>
      </c>
      <c r="D34" s="15">
        <v>29</v>
      </c>
      <c r="E34" s="15">
        <v>0.69540000000000002</v>
      </c>
      <c r="F34" s="31">
        <v>0.55700000000000005</v>
      </c>
      <c r="G34" s="15">
        <v>0.57850000000000001</v>
      </c>
      <c r="H34" s="15">
        <v>1E-4</v>
      </c>
      <c r="I34" s="15">
        <v>0.25679999999999997</v>
      </c>
      <c r="J34" s="15">
        <v>2.2499999999999999E-2</v>
      </c>
      <c r="K34" s="15">
        <v>0</v>
      </c>
      <c r="L34" s="15">
        <v>0.1386</v>
      </c>
      <c r="M34" s="15">
        <v>3.5000000000000001E-3</v>
      </c>
      <c r="N34" s="15">
        <v>2</v>
      </c>
      <c r="O34" s="15">
        <v>3</v>
      </c>
      <c r="P34" s="15">
        <v>0</v>
      </c>
      <c r="Q34" s="15">
        <v>0</v>
      </c>
    </row>
    <row r="35" spans="1:17" x14ac:dyDescent="0.35">
      <c r="A35" s="10" t="s">
        <v>193</v>
      </c>
      <c r="B35" s="24">
        <f t="shared" ca="1" si="1"/>
        <v>0.26805555555555555</v>
      </c>
      <c r="C35" s="11">
        <v>0.20693287037037036</v>
      </c>
      <c r="D35" s="12">
        <v>49</v>
      </c>
      <c r="E35" s="12">
        <v>0.69540000000000002</v>
      </c>
      <c r="F35" s="30">
        <v>0.55700000000000005</v>
      </c>
      <c r="G35" s="12">
        <v>0.57850000000000001</v>
      </c>
      <c r="H35" s="12">
        <v>1E-4</v>
      </c>
      <c r="I35" s="12">
        <v>0.25679999999999997</v>
      </c>
      <c r="J35" s="12">
        <v>2.2499999999999999E-2</v>
      </c>
      <c r="K35" s="12">
        <v>0</v>
      </c>
      <c r="L35" s="12">
        <v>0.1386</v>
      </c>
      <c r="M35" s="12">
        <v>3.5000000000000001E-3</v>
      </c>
      <c r="N35" s="12">
        <v>2</v>
      </c>
      <c r="O35" s="12">
        <v>3</v>
      </c>
      <c r="P35" s="12">
        <v>0</v>
      </c>
      <c r="Q35" s="12">
        <v>0</v>
      </c>
    </row>
    <row r="36" spans="1:17" x14ac:dyDescent="0.35">
      <c r="A36" s="13" t="s">
        <v>194</v>
      </c>
      <c r="B36" s="25">
        <f t="shared" ca="1" si="1"/>
        <v>0.39097222222222222</v>
      </c>
      <c r="C36" s="14">
        <v>0.20693287037037036</v>
      </c>
      <c r="D36" s="15">
        <v>21</v>
      </c>
      <c r="E36" s="15">
        <v>0.69540000000000002</v>
      </c>
      <c r="F36" s="31">
        <v>0.55700000000000005</v>
      </c>
      <c r="G36" s="15">
        <v>0.57850000000000001</v>
      </c>
      <c r="H36" s="15">
        <v>1E-4</v>
      </c>
      <c r="I36" s="15">
        <v>0.25679999999999997</v>
      </c>
      <c r="J36" s="15">
        <v>2.2499999999999999E-2</v>
      </c>
      <c r="K36" s="15">
        <v>0</v>
      </c>
      <c r="L36" s="15">
        <v>0.1386</v>
      </c>
      <c r="M36" s="15">
        <v>3.5000000000000001E-3</v>
      </c>
      <c r="N36" s="15">
        <v>2</v>
      </c>
      <c r="O36" s="15">
        <v>3</v>
      </c>
      <c r="P36" s="15">
        <v>0</v>
      </c>
      <c r="Q36" s="15">
        <v>0</v>
      </c>
    </row>
    <row r="37" spans="1:17" x14ac:dyDescent="0.35">
      <c r="A37" s="10" t="s">
        <v>195</v>
      </c>
      <c r="B37" s="24">
        <f t="shared" ca="1" si="1"/>
        <v>0.26527777777777778</v>
      </c>
      <c r="C37" s="11">
        <v>0.20693287037037036</v>
      </c>
      <c r="D37" s="12">
        <v>80</v>
      </c>
      <c r="E37" s="12">
        <v>0.69540000000000002</v>
      </c>
      <c r="F37" s="30">
        <v>0.55700000000000005</v>
      </c>
      <c r="G37" s="12">
        <v>0.57850000000000001</v>
      </c>
      <c r="H37" s="12">
        <v>1E-4</v>
      </c>
      <c r="I37" s="12">
        <v>0.25679999999999997</v>
      </c>
      <c r="J37" s="12">
        <v>2.2499999999999999E-2</v>
      </c>
      <c r="K37" s="12">
        <v>0</v>
      </c>
      <c r="L37" s="12">
        <v>0.1386</v>
      </c>
      <c r="M37" s="12">
        <v>3.5000000000000001E-3</v>
      </c>
      <c r="N37" s="12">
        <v>2</v>
      </c>
      <c r="O37" s="12">
        <v>3</v>
      </c>
      <c r="P37" s="12">
        <v>0</v>
      </c>
      <c r="Q37" s="12">
        <v>0</v>
      </c>
    </row>
    <row r="38" spans="1:17" x14ac:dyDescent="0.35">
      <c r="A38" s="13" t="s">
        <v>196</v>
      </c>
      <c r="B38" s="25">
        <f t="shared" ca="1" si="1"/>
        <v>0.3756944444444445</v>
      </c>
      <c r="C38" s="14">
        <v>0.20693287037037036</v>
      </c>
      <c r="D38" s="15">
        <v>50</v>
      </c>
      <c r="E38" s="15">
        <v>0.69540000000000002</v>
      </c>
      <c r="F38" s="31">
        <v>0.55700000000000005</v>
      </c>
      <c r="G38" s="15">
        <v>0.57850000000000001</v>
      </c>
      <c r="H38" s="15">
        <v>1E-4</v>
      </c>
      <c r="I38" s="15">
        <v>0.25679999999999997</v>
      </c>
      <c r="J38" s="15">
        <v>2.2499999999999999E-2</v>
      </c>
      <c r="K38" s="15">
        <v>0</v>
      </c>
      <c r="L38" s="15">
        <v>0.1386</v>
      </c>
      <c r="M38" s="15">
        <v>3.5000000000000001E-3</v>
      </c>
      <c r="N38" s="15">
        <v>2</v>
      </c>
      <c r="O38" s="15">
        <v>3</v>
      </c>
      <c r="P38" s="15">
        <v>0</v>
      </c>
      <c r="Q38" s="15">
        <v>0</v>
      </c>
    </row>
    <row r="39" spans="1:17" x14ac:dyDescent="0.35">
      <c r="A39" s="10" t="s">
        <v>197</v>
      </c>
      <c r="B39" s="24">
        <f t="shared" ca="1" si="1"/>
        <v>0.33611111111111108</v>
      </c>
      <c r="C39" s="11">
        <v>0.20693287037037036</v>
      </c>
      <c r="D39" s="12">
        <v>59</v>
      </c>
      <c r="E39" s="12">
        <v>0.69540000000000002</v>
      </c>
      <c r="F39" s="30">
        <v>0.55700000000000005</v>
      </c>
      <c r="G39" s="12">
        <v>0.57850000000000001</v>
      </c>
      <c r="H39" s="12">
        <v>1E-4</v>
      </c>
      <c r="I39" s="12">
        <v>0.25679999999999997</v>
      </c>
      <c r="J39" s="12">
        <v>2.2499999999999999E-2</v>
      </c>
      <c r="K39" s="12">
        <v>0</v>
      </c>
      <c r="L39" s="12">
        <v>0.1386</v>
      </c>
      <c r="M39" s="12">
        <v>3.5000000000000001E-3</v>
      </c>
      <c r="N39" s="12">
        <v>2</v>
      </c>
      <c r="O39" s="12">
        <v>3</v>
      </c>
      <c r="P39" s="12">
        <v>0</v>
      </c>
      <c r="Q39" s="12">
        <v>0</v>
      </c>
    </row>
    <row r="40" spans="1:17" x14ac:dyDescent="0.35">
      <c r="A40" s="13" t="s">
        <v>198</v>
      </c>
      <c r="B40" s="25">
        <f t="shared" ca="1" si="1"/>
        <v>0.375</v>
      </c>
      <c r="C40" s="14">
        <v>0.20693287037037036</v>
      </c>
      <c r="D40" s="15">
        <v>73</v>
      </c>
      <c r="E40" s="15">
        <v>0.69540000000000002</v>
      </c>
      <c r="F40" s="31">
        <v>0.55700000000000005</v>
      </c>
      <c r="G40" s="15">
        <v>0.57850000000000001</v>
      </c>
      <c r="H40" s="15">
        <v>1E-4</v>
      </c>
      <c r="I40" s="15">
        <v>0.25679999999999997</v>
      </c>
      <c r="J40" s="15">
        <v>2.2499999999999999E-2</v>
      </c>
      <c r="K40" s="15">
        <v>0</v>
      </c>
      <c r="L40" s="15">
        <v>0.1386</v>
      </c>
      <c r="M40" s="15">
        <v>3.5000000000000001E-3</v>
      </c>
      <c r="N40" s="15">
        <v>2</v>
      </c>
      <c r="O40" s="15">
        <v>3</v>
      </c>
      <c r="P40" s="15">
        <v>0</v>
      </c>
      <c r="Q40" s="15">
        <v>0</v>
      </c>
    </row>
    <row r="41" spans="1:17" x14ac:dyDescent="0.35">
      <c r="A41" s="10" t="s">
        <v>199</v>
      </c>
      <c r="B41" s="24">
        <f t="shared" ca="1" si="1"/>
        <v>0.36180555555555555</v>
      </c>
      <c r="C41" s="11">
        <v>0.20693287037037036</v>
      </c>
      <c r="D41" s="12">
        <v>46</v>
      </c>
      <c r="E41" s="12">
        <v>0.69540000000000002</v>
      </c>
      <c r="F41" s="30">
        <v>0.55700000000000005</v>
      </c>
      <c r="G41" s="12">
        <v>0.57850000000000001</v>
      </c>
      <c r="H41" s="12">
        <v>1E-4</v>
      </c>
      <c r="I41" s="12">
        <v>0.25679999999999997</v>
      </c>
      <c r="J41" s="12">
        <v>2.2499999999999999E-2</v>
      </c>
      <c r="K41" s="12">
        <v>0</v>
      </c>
      <c r="L41" s="12">
        <v>0.1386</v>
      </c>
      <c r="M41" s="12">
        <v>3.5000000000000001E-3</v>
      </c>
      <c r="N41" s="12">
        <v>2</v>
      </c>
      <c r="O41" s="12">
        <v>3</v>
      </c>
      <c r="P41" s="12">
        <v>0</v>
      </c>
      <c r="Q41" s="12">
        <v>0</v>
      </c>
    </row>
    <row r="42" spans="1:17" x14ac:dyDescent="0.35">
      <c r="A42" s="13" t="s">
        <v>200</v>
      </c>
      <c r="B42" s="25">
        <f t="shared" ca="1" si="1"/>
        <v>0.25694444444444448</v>
      </c>
      <c r="C42" s="14">
        <v>0.20693287037037036</v>
      </c>
      <c r="D42" s="15">
        <v>53</v>
      </c>
      <c r="E42" s="15">
        <v>0.69540000000000002</v>
      </c>
      <c r="F42" s="31">
        <v>0.55700000000000005</v>
      </c>
      <c r="G42" s="15">
        <v>0.57850000000000001</v>
      </c>
      <c r="H42" s="15">
        <v>1E-4</v>
      </c>
      <c r="I42" s="15">
        <v>0.25679999999999997</v>
      </c>
      <c r="J42" s="15">
        <v>2.2499999999999999E-2</v>
      </c>
      <c r="K42" s="15">
        <v>0</v>
      </c>
      <c r="L42" s="15">
        <v>0.1386</v>
      </c>
      <c r="M42" s="15">
        <v>3.5000000000000001E-3</v>
      </c>
      <c r="N42" s="15">
        <v>2</v>
      </c>
      <c r="O42" s="15">
        <v>3</v>
      </c>
      <c r="P42" s="15">
        <v>0</v>
      </c>
      <c r="Q42" s="15">
        <v>0</v>
      </c>
    </row>
    <row r="43" spans="1:17" x14ac:dyDescent="0.35">
      <c r="A43" s="10" t="s">
        <v>201</v>
      </c>
      <c r="B43" s="24">
        <f t="shared" ca="1" si="1"/>
        <v>0.33194444444444443</v>
      </c>
      <c r="C43" s="11">
        <v>0.20693287037037036</v>
      </c>
      <c r="D43" s="12">
        <v>78</v>
      </c>
      <c r="E43" s="12">
        <v>0.69540000000000002</v>
      </c>
      <c r="F43" s="30">
        <v>0.55700000000000005</v>
      </c>
      <c r="G43" s="12">
        <v>0.57850000000000001</v>
      </c>
      <c r="H43" s="12">
        <v>1E-4</v>
      </c>
      <c r="I43" s="12">
        <v>0.25679999999999997</v>
      </c>
      <c r="J43" s="12">
        <v>2.2499999999999999E-2</v>
      </c>
      <c r="K43" s="12">
        <v>0</v>
      </c>
      <c r="L43" s="12">
        <v>0.1386</v>
      </c>
      <c r="M43" s="12">
        <v>3.5000000000000001E-3</v>
      </c>
      <c r="N43" s="12">
        <v>2</v>
      </c>
      <c r="O43" s="12">
        <v>3</v>
      </c>
      <c r="P43" s="12">
        <v>0</v>
      </c>
      <c r="Q43" s="12">
        <v>0</v>
      </c>
    </row>
    <row r="44" spans="1:17" x14ac:dyDescent="0.35">
      <c r="A44" s="13" t="s">
        <v>202</v>
      </c>
      <c r="B44" s="25">
        <f t="shared" ca="1" si="1"/>
        <v>0.36805555555555558</v>
      </c>
      <c r="C44" s="14">
        <v>0.20693287037037036</v>
      </c>
      <c r="D44" s="15">
        <v>96</v>
      </c>
      <c r="E44" s="15">
        <v>0.69540000000000002</v>
      </c>
      <c r="F44" s="31">
        <v>0.55700000000000005</v>
      </c>
      <c r="G44" s="15">
        <v>0.57850000000000001</v>
      </c>
      <c r="H44" s="15">
        <v>1E-4</v>
      </c>
      <c r="I44" s="15">
        <v>0.25679999999999997</v>
      </c>
      <c r="J44" s="15">
        <v>2.2499999999999999E-2</v>
      </c>
      <c r="K44" s="15">
        <v>0</v>
      </c>
      <c r="L44" s="15">
        <v>0.1386</v>
      </c>
      <c r="M44" s="15">
        <v>3.5000000000000001E-3</v>
      </c>
      <c r="N44" s="15">
        <v>2</v>
      </c>
      <c r="O44" s="15">
        <v>3</v>
      </c>
      <c r="P44" s="15">
        <v>0</v>
      </c>
      <c r="Q44" s="15">
        <v>0</v>
      </c>
    </row>
    <row r="45" spans="1:17" x14ac:dyDescent="0.35">
      <c r="A45" s="10" t="s">
        <v>203</v>
      </c>
      <c r="B45" s="24">
        <f t="shared" ca="1" si="1"/>
        <v>0.33680555555555558</v>
      </c>
      <c r="C45" s="11">
        <v>0.20693287037037036</v>
      </c>
      <c r="D45" s="12">
        <v>66</v>
      </c>
      <c r="E45" s="12">
        <v>0.69540000000000002</v>
      </c>
      <c r="F45" s="30">
        <v>0.55700000000000005</v>
      </c>
      <c r="G45" s="12">
        <v>0.57850000000000001</v>
      </c>
      <c r="H45" s="12">
        <v>1E-4</v>
      </c>
      <c r="I45" s="12">
        <v>0.25679999999999997</v>
      </c>
      <c r="J45" s="12">
        <v>2.2499999999999999E-2</v>
      </c>
      <c r="K45" s="12">
        <v>0</v>
      </c>
      <c r="L45" s="12">
        <v>0.1386</v>
      </c>
      <c r="M45" s="12">
        <v>3.5000000000000001E-3</v>
      </c>
      <c r="N45" s="12">
        <v>2</v>
      </c>
      <c r="O45" s="12">
        <v>3</v>
      </c>
      <c r="P45" s="12">
        <v>0</v>
      </c>
      <c r="Q45" s="12">
        <v>0</v>
      </c>
    </row>
    <row r="46" spans="1:17" x14ac:dyDescent="0.35">
      <c r="A46" s="13" t="s">
        <v>204</v>
      </c>
      <c r="B46" s="25">
        <f t="shared" ca="1" si="1"/>
        <v>0.29444444444444445</v>
      </c>
      <c r="C46" s="14">
        <v>0.20693287037037036</v>
      </c>
      <c r="D46" s="15">
        <v>71</v>
      </c>
      <c r="E46" s="15">
        <v>0.69540000000000002</v>
      </c>
      <c r="F46" s="31">
        <v>0.55700000000000005</v>
      </c>
      <c r="G46" s="15">
        <v>0.57850000000000001</v>
      </c>
      <c r="H46" s="15">
        <v>1E-4</v>
      </c>
      <c r="I46" s="15">
        <v>0.25679999999999997</v>
      </c>
      <c r="J46" s="15">
        <v>2.2499999999999999E-2</v>
      </c>
      <c r="K46" s="15">
        <v>0</v>
      </c>
      <c r="L46" s="15">
        <v>0.1386</v>
      </c>
      <c r="M46" s="15">
        <v>3.5000000000000001E-3</v>
      </c>
      <c r="N46" s="15">
        <v>2</v>
      </c>
      <c r="O46" s="15">
        <v>3</v>
      </c>
      <c r="P46" s="15">
        <v>0</v>
      </c>
      <c r="Q46" s="15">
        <v>0</v>
      </c>
    </row>
    <row r="47" spans="1:17" x14ac:dyDescent="0.35">
      <c r="A47" s="10" t="s">
        <v>205</v>
      </c>
      <c r="B47" s="24">
        <f t="shared" ca="1" si="1"/>
        <v>0.35972222222222222</v>
      </c>
      <c r="C47" s="11">
        <v>0.20693287037037036</v>
      </c>
      <c r="D47" s="12">
        <v>28</v>
      </c>
      <c r="E47" s="12">
        <v>0.69540000000000002</v>
      </c>
      <c r="F47" s="30">
        <v>0.55700000000000005</v>
      </c>
      <c r="G47" s="12">
        <v>0.57850000000000001</v>
      </c>
      <c r="H47" s="12">
        <v>1E-4</v>
      </c>
      <c r="I47" s="12">
        <v>0.25679999999999997</v>
      </c>
      <c r="J47" s="12">
        <v>2.2499999999999999E-2</v>
      </c>
      <c r="K47" s="12">
        <v>0</v>
      </c>
      <c r="L47" s="12">
        <v>0.1386</v>
      </c>
      <c r="M47" s="12">
        <v>3.5000000000000001E-3</v>
      </c>
      <c r="N47" s="12">
        <v>2</v>
      </c>
      <c r="O47" s="12">
        <v>3</v>
      </c>
      <c r="P47" s="12">
        <v>0</v>
      </c>
      <c r="Q47" s="12">
        <v>0</v>
      </c>
    </row>
    <row r="48" spans="1:17" x14ac:dyDescent="0.35">
      <c r="A48" s="13" t="s">
        <v>206</v>
      </c>
      <c r="B48" s="25">
        <f t="shared" ca="1" si="1"/>
        <v>0.25763888888888892</v>
      </c>
      <c r="C48" s="14">
        <v>0.20693287037037036</v>
      </c>
      <c r="D48" s="15">
        <v>59</v>
      </c>
      <c r="E48" s="15">
        <v>0.69540000000000002</v>
      </c>
      <c r="F48" s="31">
        <v>0.55700000000000005</v>
      </c>
      <c r="G48" s="15">
        <v>0.57850000000000001</v>
      </c>
      <c r="H48" s="15">
        <v>1E-4</v>
      </c>
      <c r="I48" s="15">
        <v>0.25679999999999997</v>
      </c>
      <c r="J48" s="15">
        <v>2.2499999999999999E-2</v>
      </c>
      <c r="K48" s="15">
        <v>0</v>
      </c>
      <c r="L48" s="15">
        <v>0.1386</v>
      </c>
      <c r="M48" s="15">
        <v>3.5000000000000001E-3</v>
      </c>
      <c r="N48" s="15">
        <v>2</v>
      </c>
      <c r="O48" s="15">
        <v>3</v>
      </c>
      <c r="P48" s="15">
        <v>0</v>
      </c>
      <c r="Q48" s="15">
        <v>0</v>
      </c>
    </row>
    <row r="49" spans="1:17" x14ac:dyDescent="0.35">
      <c r="A49" s="10" t="s">
        <v>207</v>
      </c>
      <c r="B49" s="24">
        <f t="shared" ca="1" si="1"/>
        <v>0.27777777777777779</v>
      </c>
      <c r="C49" s="11">
        <v>0.20693287037037036</v>
      </c>
      <c r="D49" s="12">
        <v>42</v>
      </c>
      <c r="E49" s="12">
        <v>0.69540000000000002</v>
      </c>
      <c r="F49" s="30">
        <v>0.55700000000000005</v>
      </c>
      <c r="G49" s="12">
        <v>0.57850000000000001</v>
      </c>
      <c r="H49" s="12">
        <v>1E-4</v>
      </c>
      <c r="I49" s="12">
        <v>0.25679999999999997</v>
      </c>
      <c r="J49" s="12">
        <v>2.2499999999999999E-2</v>
      </c>
      <c r="K49" s="12">
        <v>0</v>
      </c>
      <c r="L49" s="12">
        <v>0.1386</v>
      </c>
      <c r="M49" s="12">
        <v>3.5000000000000001E-3</v>
      </c>
      <c r="N49" s="12">
        <v>2</v>
      </c>
      <c r="O49" s="12">
        <v>3</v>
      </c>
      <c r="P49" s="12">
        <v>0</v>
      </c>
      <c r="Q49" s="12">
        <v>0</v>
      </c>
    </row>
    <row r="50" spans="1:17" x14ac:dyDescent="0.35">
      <c r="A50" s="13" t="s">
        <v>208</v>
      </c>
      <c r="B50" s="25">
        <f t="shared" ca="1" si="1"/>
        <v>0.2590277777777778</v>
      </c>
      <c r="C50" s="14">
        <v>0.20693287037037036</v>
      </c>
      <c r="D50" s="15">
        <v>64</v>
      </c>
      <c r="E50" s="15">
        <v>0.69540000000000002</v>
      </c>
      <c r="F50" s="31">
        <v>0.55700000000000005</v>
      </c>
      <c r="G50" s="15">
        <v>0.57850000000000001</v>
      </c>
      <c r="H50" s="15">
        <v>1E-4</v>
      </c>
      <c r="I50" s="15">
        <v>0.25679999999999997</v>
      </c>
      <c r="J50" s="15">
        <v>2.2499999999999999E-2</v>
      </c>
      <c r="K50" s="15">
        <v>0</v>
      </c>
      <c r="L50" s="15">
        <v>0.1386</v>
      </c>
      <c r="M50" s="15">
        <v>3.5000000000000001E-3</v>
      </c>
      <c r="N50" s="15">
        <v>2</v>
      </c>
      <c r="O50" s="15">
        <v>3</v>
      </c>
      <c r="P50" s="15">
        <v>0</v>
      </c>
      <c r="Q50" s="15">
        <v>0</v>
      </c>
    </row>
    <row r="51" spans="1:17" x14ac:dyDescent="0.35">
      <c r="A51" s="10" t="s">
        <v>209</v>
      </c>
      <c r="B51" s="24">
        <f t="shared" ca="1" si="1"/>
        <v>0.37083333333333335</v>
      </c>
      <c r="C51" s="11">
        <v>0.20693287037037036</v>
      </c>
      <c r="D51" s="12">
        <v>63</v>
      </c>
      <c r="E51" s="12">
        <v>0.69540000000000002</v>
      </c>
      <c r="F51" s="30">
        <v>0.55700000000000005</v>
      </c>
      <c r="G51" s="12">
        <v>0.57850000000000001</v>
      </c>
      <c r="H51" s="12">
        <v>1E-4</v>
      </c>
      <c r="I51" s="12">
        <v>0.25679999999999997</v>
      </c>
      <c r="J51" s="12">
        <v>2.2499999999999999E-2</v>
      </c>
      <c r="K51" s="12">
        <v>0</v>
      </c>
      <c r="L51" s="12">
        <v>0.1386</v>
      </c>
      <c r="M51" s="12">
        <v>3.5000000000000001E-3</v>
      </c>
      <c r="N51" s="12">
        <v>2</v>
      </c>
      <c r="O51" s="12">
        <v>3</v>
      </c>
      <c r="P51" s="12">
        <v>0</v>
      </c>
      <c r="Q51" s="12">
        <v>0</v>
      </c>
    </row>
    <row r="52" spans="1:17" x14ac:dyDescent="0.35">
      <c r="A52" s="13" t="s">
        <v>210</v>
      </c>
      <c r="B52" s="25">
        <f t="shared" ca="1" si="1"/>
        <v>0.29652777777777778</v>
      </c>
      <c r="C52" s="14">
        <v>0.20693287037037036</v>
      </c>
      <c r="D52" s="15">
        <v>48</v>
      </c>
      <c r="E52" s="15">
        <v>0.69540000000000002</v>
      </c>
      <c r="F52" s="31">
        <v>0.55700000000000005</v>
      </c>
      <c r="G52" s="15">
        <v>0.57850000000000001</v>
      </c>
      <c r="H52" s="15">
        <v>1E-4</v>
      </c>
      <c r="I52" s="15">
        <v>0.25679999999999997</v>
      </c>
      <c r="J52" s="15">
        <v>2.2499999999999999E-2</v>
      </c>
      <c r="K52" s="15">
        <v>0</v>
      </c>
      <c r="L52" s="15">
        <v>0.1386</v>
      </c>
      <c r="M52" s="15">
        <v>3.5000000000000001E-3</v>
      </c>
      <c r="N52" s="15">
        <v>2</v>
      </c>
      <c r="O52" s="15">
        <v>3</v>
      </c>
      <c r="P52" s="15">
        <v>0</v>
      </c>
      <c r="Q52" s="15">
        <v>0</v>
      </c>
    </row>
    <row r="53" spans="1:17" x14ac:dyDescent="0.35">
      <c r="A53" s="10" t="s">
        <v>211</v>
      </c>
      <c r="B53" s="24">
        <f t="shared" ca="1" si="1"/>
        <v>0.4069444444444445</v>
      </c>
      <c r="C53" s="11">
        <v>0.20693287037037036</v>
      </c>
      <c r="D53" s="12">
        <v>90</v>
      </c>
      <c r="E53" s="12">
        <v>0.69540000000000002</v>
      </c>
      <c r="F53" s="30">
        <v>0.55700000000000005</v>
      </c>
      <c r="G53" s="12">
        <v>0.57850000000000001</v>
      </c>
      <c r="H53" s="12">
        <v>1E-4</v>
      </c>
      <c r="I53" s="12">
        <v>0.25679999999999997</v>
      </c>
      <c r="J53" s="12">
        <v>2.2499999999999999E-2</v>
      </c>
      <c r="K53" s="12">
        <v>0</v>
      </c>
      <c r="L53" s="12">
        <v>0.1386</v>
      </c>
      <c r="M53" s="12">
        <v>3.5000000000000001E-3</v>
      </c>
      <c r="N53" s="12">
        <v>2</v>
      </c>
      <c r="O53" s="12">
        <v>3</v>
      </c>
      <c r="P53" s="12">
        <v>0</v>
      </c>
      <c r="Q53" s="12">
        <v>0</v>
      </c>
    </row>
    <row r="54" spans="1:17" x14ac:dyDescent="0.35">
      <c r="A54" s="13" t="s">
        <v>212</v>
      </c>
      <c r="B54" s="25">
        <f t="shared" ca="1" si="1"/>
        <v>0.27569444444444446</v>
      </c>
      <c r="C54" s="14">
        <v>0.20693287037037036</v>
      </c>
      <c r="D54" s="15">
        <v>43</v>
      </c>
      <c r="E54" s="15">
        <v>0.69540000000000002</v>
      </c>
      <c r="F54" s="31">
        <v>0.55700000000000005</v>
      </c>
      <c r="G54" s="15">
        <v>0.57850000000000001</v>
      </c>
      <c r="H54" s="15">
        <v>1E-4</v>
      </c>
      <c r="I54" s="15">
        <v>0.25679999999999997</v>
      </c>
      <c r="J54" s="15">
        <v>2.2499999999999999E-2</v>
      </c>
      <c r="K54" s="15">
        <v>0</v>
      </c>
      <c r="L54" s="15">
        <v>0.1386</v>
      </c>
      <c r="M54" s="15">
        <v>3.5000000000000001E-3</v>
      </c>
      <c r="N54" s="15">
        <v>2</v>
      </c>
      <c r="O54" s="15">
        <v>3</v>
      </c>
      <c r="P54" s="15">
        <v>0</v>
      </c>
      <c r="Q54" s="15">
        <v>0</v>
      </c>
    </row>
    <row r="55" spans="1:17" x14ac:dyDescent="0.35">
      <c r="A55" s="10" t="s">
        <v>213</v>
      </c>
      <c r="B55" s="24">
        <f t="shared" ca="1" si="1"/>
        <v>0.39097222222222222</v>
      </c>
      <c r="C55" s="11">
        <v>0.20693287037037036</v>
      </c>
      <c r="D55" s="12">
        <v>47</v>
      </c>
      <c r="E55" s="12">
        <v>0.69540000000000002</v>
      </c>
      <c r="F55" s="30">
        <v>0.55700000000000005</v>
      </c>
      <c r="G55" s="12">
        <v>0.57850000000000001</v>
      </c>
      <c r="H55" s="12">
        <v>1E-4</v>
      </c>
      <c r="I55" s="12">
        <v>0.25679999999999997</v>
      </c>
      <c r="J55" s="12">
        <v>2.2499999999999999E-2</v>
      </c>
      <c r="K55" s="12">
        <v>0</v>
      </c>
      <c r="L55" s="12">
        <v>0.1386</v>
      </c>
      <c r="M55" s="12">
        <v>3.5000000000000001E-3</v>
      </c>
      <c r="N55" s="12">
        <v>2</v>
      </c>
      <c r="O55" s="12">
        <v>3</v>
      </c>
      <c r="P55" s="12">
        <v>0</v>
      </c>
      <c r="Q55" s="12">
        <v>0</v>
      </c>
    </row>
    <row r="56" spans="1:17" x14ac:dyDescent="0.35">
      <c r="A56" s="13" t="s">
        <v>214</v>
      </c>
      <c r="B56" s="25">
        <f t="shared" ca="1" si="1"/>
        <v>0.30138888888888887</v>
      </c>
      <c r="C56" s="14">
        <v>0.20693287037037036</v>
      </c>
      <c r="D56" s="15">
        <v>98</v>
      </c>
      <c r="E56" s="15">
        <v>0.69540000000000002</v>
      </c>
      <c r="F56" s="31">
        <v>0.55700000000000005</v>
      </c>
      <c r="G56" s="15">
        <v>0.57850000000000001</v>
      </c>
      <c r="H56" s="15">
        <v>1E-4</v>
      </c>
      <c r="I56" s="15">
        <v>0.25679999999999997</v>
      </c>
      <c r="J56" s="15">
        <v>2.2499999999999999E-2</v>
      </c>
      <c r="K56" s="15">
        <v>0</v>
      </c>
      <c r="L56" s="15">
        <v>0.1386</v>
      </c>
      <c r="M56" s="15">
        <v>3.5000000000000001E-3</v>
      </c>
      <c r="N56" s="15">
        <v>2</v>
      </c>
      <c r="O56" s="15">
        <v>3</v>
      </c>
      <c r="P56" s="15">
        <v>0</v>
      </c>
      <c r="Q56" s="15">
        <v>0</v>
      </c>
    </row>
    <row r="57" spans="1:17" x14ac:dyDescent="0.35">
      <c r="A57" s="10" t="s">
        <v>215</v>
      </c>
      <c r="B57" s="24">
        <f t="shared" ca="1" si="1"/>
        <v>0.37777777777777777</v>
      </c>
      <c r="C57" s="11">
        <v>0.20693287037037036</v>
      </c>
      <c r="D57" s="12">
        <v>42</v>
      </c>
      <c r="E57" s="12">
        <v>0.69540000000000002</v>
      </c>
      <c r="F57" s="30">
        <v>0.55700000000000005</v>
      </c>
      <c r="G57" s="12">
        <v>0.57850000000000001</v>
      </c>
      <c r="H57" s="12">
        <v>1E-4</v>
      </c>
      <c r="I57" s="12">
        <v>0.25679999999999997</v>
      </c>
      <c r="J57" s="12">
        <v>2.2499999999999999E-2</v>
      </c>
      <c r="K57" s="12">
        <v>0</v>
      </c>
      <c r="L57" s="12">
        <v>0.1386</v>
      </c>
      <c r="M57" s="12">
        <v>3.5000000000000001E-3</v>
      </c>
      <c r="N57" s="12">
        <v>2</v>
      </c>
      <c r="O57" s="12">
        <v>3</v>
      </c>
      <c r="P57" s="12">
        <v>0</v>
      </c>
      <c r="Q57" s="12">
        <v>0</v>
      </c>
    </row>
    <row r="58" spans="1:17" x14ac:dyDescent="0.35">
      <c r="A58" s="13" t="s">
        <v>216</v>
      </c>
      <c r="B58" s="25">
        <f t="shared" ca="1" si="1"/>
        <v>0.2673611111111111</v>
      </c>
      <c r="C58" s="14">
        <v>0.20693287037037036</v>
      </c>
      <c r="D58" s="15">
        <v>90</v>
      </c>
      <c r="E58" s="15">
        <v>0.69540000000000002</v>
      </c>
      <c r="F58" s="31">
        <v>0.55700000000000005</v>
      </c>
      <c r="G58" s="15">
        <v>0.57850000000000001</v>
      </c>
      <c r="H58" s="15">
        <v>1E-4</v>
      </c>
      <c r="I58" s="15">
        <v>0.25679999999999997</v>
      </c>
      <c r="J58" s="15">
        <v>2.2499999999999999E-2</v>
      </c>
      <c r="K58" s="15">
        <v>0</v>
      </c>
      <c r="L58" s="15">
        <v>0.1386</v>
      </c>
      <c r="M58" s="15">
        <v>3.5000000000000001E-3</v>
      </c>
      <c r="N58" s="15">
        <v>2</v>
      </c>
      <c r="O58" s="15">
        <v>3</v>
      </c>
      <c r="P58" s="15">
        <v>0</v>
      </c>
      <c r="Q58" s="15">
        <v>0</v>
      </c>
    </row>
    <row r="59" spans="1:17" x14ac:dyDescent="0.35">
      <c r="A59" s="10" t="s">
        <v>217</v>
      </c>
      <c r="B59" s="24">
        <f t="shared" ca="1" si="1"/>
        <v>0.30763888888888891</v>
      </c>
      <c r="C59" s="11">
        <v>0.20693287037037036</v>
      </c>
      <c r="D59" s="12">
        <v>84</v>
      </c>
      <c r="E59" s="12">
        <v>0.69540000000000002</v>
      </c>
      <c r="F59" s="30">
        <v>0.55700000000000005</v>
      </c>
      <c r="G59" s="12">
        <v>0.57850000000000001</v>
      </c>
      <c r="H59" s="12">
        <v>1E-4</v>
      </c>
      <c r="I59" s="12">
        <v>0.25679999999999997</v>
      </c>
      <c r="J59" s="12">
        <v>2.2499999999999999E-2</v>
      </c>
      <c r="K59" s="12">
        <v>0</v>
      </c>
      <c r="L59" s="12">
        <v>0.1386</v>
      </c>
      <c r="M59" s="12">
        <v>3.5000000000000001E-3</v>
      </c>
      <c r="N59" s="12">
        <v>2</v>
      </c>
      <c r="O59" s="12">
        <v>3</v>
      </c>
      <c r="P59" s="12">
        <v>0</v>
      </c>
      <c r="Q59" s="12">
        <v>0</v>
      </c>
    </row>
    <row r="60" spans="1:17" x14ac:dyDescent="0.35">
      <c r="A60" s="13" t="s">
        <v>218</v>
      </c>
      <c r="B60" s="25">
        <f t="shared" ca="1" si="1"/>
        <v>0.32569444444444445</v>
      </c>
      <c r="C60" s="14">
        <v>0.20693287037037036</v>
      </c>
      <c r="D60" s="15">
        <v>34</v>
      </c>
      <c r="E60" s="15">
        <v>0.69540000000000002</v>
      </c>
      <c r="F60" s="31">
        <v>0.55700000000000005</v>
      </c>
      <c r="G60" s="15">
        <v>0.57850000000000001</v>
      </c>
      <c r="H60" s="15">
        <v>1E-4</v>
      </c>
      <c r="I60" s="15">
        <v>0.25679999999999997</v>
      </c>
      <c r="J60" s="15">
        <v>2.2499999999999999E-2</v>
      </c>
      <c r="K60" s="15">
        <v>0</v>
      </c>
      <c r="L60" s="15">
        <v>0.1386</v>
      </c>
      <c r="M60" s="15">
        <v>3.5000000000000001E-3</v>
      </c>
      <c r="N60" s="15">
        <v>2</v>
      </c>
      <c r="O60" s="15">
        <v>3</v>
      </c>
      <c r="P60" s="15">
        <v>0</v>
      </c>
      <c r="Q60" s="15">
        <v>0</v>
      </c>
    </row>
    <row r="61" spans="1:17" x14ac:dyDescent="0.35">
      <c r="A61" s="10" t="s">
        <v>219</v>
      </c>
      <c r="B61" s="24">
        <f t="shared" ca="1" si="1"/>
        <v>0.34861111111111115</v>
      </c>
      <c r="C61" s="11">
        <v>0.20693287037037036</v>
      </c>
      <c r="D61" s="12">
        <v>48</v>
      </c>
      <c r="E61" s="12">
        <v>0.69540000000000002</v>
      </c>
      <c r="F61" s="30">
        <v>0.55700000000000005</v>
      </c>
      <c r="G61" s="12">
        <v>0.57850000000000001</v>
      </c>
      <c r="H61" s="12">
        <v>1E-4</v>
      </c>
      <c r="I61" s="12">
        <v>0.25679999999999997</v>
      </c>
      <c r="J61" s="12">
        <v>2.2499999999999999E-2</v>
      </c>
      <c r="K61" s="12">
        <v>0</v>
      </c>
      <c r="L61" s="12">
        <v>0.1386</v>
      </c>
      <c r="M61" s="12">
        <v>3.5000000000000001E-3</v>
      </c>
      <c r="N61" s="12">
        <v>2</v>
      </c>
      <c r="O61" s="12">
        <v>3</v>
      </c>
      <c r="P61" s="12">
        <v>0</v>
      </c>
      <c r="Q61" s="12">
        <v>0</v>
      </c>
    </row>
    <row r="62" spans="1:17" x14ac:dyDescent="0.35">
      <c r="A62" s="13" t="s">
        <v>220</v>
      </c>
      <c r="B62" s="25">
        <f t="shared" ca="1" si="1"/>
        <v>0.41250000000000003</v>
      </c>
      <c r="C62" s="14">
        <v>0.20693287037037036</v>
      </c>
      <c r="D62" s="15">
        <v>32</v>
      </c>
      <c r="E62" s="15">
        <v>0.69540000000000002</v>
      </c>
      <c r="F62" s="31">
        <v>0.55700000000000005</v>
      </c>
      <c r="G62" s="15">
        <v>0.57850000000000001</v>
      </c>
      <c r="H62" s="15">
        <v>1E-4</v>
      </c>
      <c r="I62" s="15">
        <v>0.25679999999999997</v>
      </c>
      <c r="J62" s="15">
        <v>2.2499999999999999E-2</v>
      </c>
      <c r="K62" s="15">
        <v>0</v>
      </c>
      <c r="L62" s="15">
        <v>0.1386</v>
      </c>
      <c r="M62" s="15">
        <v>3.5000000000000001E-3</v>
      </c>
      <c r="N62" s="15">
        <v>2</v>
      </c>
      <c r="O62" s="15">
        <v>3</v>
      </c>
      <c r="P62" s="15">
        <v>0</v>
      </c>
      <c r="Q62" s="15">
        <v>0</v>
      </c>
    </row>
    <row r="63" spans="1:17" x14ac:dyDescent="0.35">
      <c r="A63" s="10" t="s">
        <v>221</v>
      </c>
      <c r="B63" s="24">
        <f t="shared" ca="1" si="1"/>
        <v>0.33749999999999997</v>
      </c>
      <c r="C63" s="11">
        <v>0.20693287037037036</v>
      </c>
      <c r="D63" s="12">
        <v>87</v>
      </c>
      <c r="E63" s="12">
        <v>0.69540000000000002</v>
      </c>
      <c r="F63" s="30">
        <v>0.55700000000000005</v>
      </c>
      <c r="G63" s="12">
        <v>0.57850000000000001</v>
      </c>
      <c r="H63" s="12">
        <v>1E-4</v>
      </c>
      <c r="I63" s="12">
        <v>0.25679999999999997</v>
      </c>
      <c r="J63" s="12">
        <v>2.2499999999999999E-2</v>
      </c>
      <c r="K63" s="12">
        <v>0</v>
      </c>
      <c r="L63" s="12">
        <v>0.1386</v>
      </c>
      <c r="M63" s="12">
        <v>3.5000000000000001E-3</v>
      </c>
      <c r="N63" s="12">
        <v>2</v>
      </c>
      <c r="O63" s="12">
        <v>3</v>
      </c>
      <c r="P63" s="12">
        <v>0</v>
      </c>
      <c r="Q63" s="12">
        <v>0</v>
      </c>
    </row>
    <row r="64" spans="1:17" x14ac:dyDescent="0.35">
      <c r="A64" s="13" t="s">
        <v>222</v>
      </c>
      <c r="B64" s="25">
        <f t="shared" ca="1" si="1"/>
        <v>0.26874999999999999</v>
      </c>
      <c r="C64" s="14">
        <v>0.20693287037037036</v>
      </c>
      <c r="D64" s="15">
        <v>53</v>
      </c>
      <c r="E64" s="15">
        <v>0.69540000000000002</v>
      </c>
      <c r="F64" s="31">
        <v>0.55700000000000005</v>
      </c>
      <c r="G64" s="15">
        <v>0.57850000000000001</v>
      </c>
      <c r="H64" s="15">
        <v>1E-4</v>
      </c>
      <c r="I64" s="15">
        <v>0.25679999999999997</v>
      </c>
      <c r="J64" s="15">
        <v>2.2499999999999999E-2</v>
      </c>
      <c r="K64" s="15">
        <v>0</v>
      </c>
      <c r="L64" s="15">
        <v>0.1386</v>
      </c>
      <c r="M64" s="15">
        <v>3.5000000000000001E-3</v>
      </c>
      <c r="N64" s="15">
        <v>2</v>
      </c>
      <c r="O64" s="15">
        <v>3</v>
      </c>
      <c r="P64" s="15">
        <v>0</v>
      </c>
      <c r="Q64" s="15">
        <v>0</v>
      </c>
    </row>
    <row r="65" spans="1:17" x14ac:dyDescent="0.35">
      <c r="A65" s="10" t="s">
        <v>223</v>
      </c>
      <c r="B65" s="24">
        <f t="shared" ca="1" si="1"/>
        <v>0.41597222222222219</v>
      </c>
      <c r="C65" s="11">
        <v>0.20693287037037036</v>
      </c>
      <c r="D65" s="12">
        <v>87</v>
      </c>
      <c r="E65" s="12">
        <v>0.69540000000000002</v>
      </c>
      <c r="F65" s="30">
        <v>0.55700000000000005</v>
      </c>
      <c r="G65" s="12">
        <v>0.57850000000000001</v>
      </c>
      <c r="H65" s="12">
        <v>1E-4</v>
      </c>
      <c r="I65" s="12">
        <v>0.25679999999999997</v>
      </c>
      <c r="J65" s="12">
        <v>2.2499999999999999E-2</v>
      </c>
      <c r="K65" s="12">
        <v>0</v>
      </c>
      <c r="L65" s="12">
        <v>0.1386</v>
      </c>
      <c r="M65" s="12">
        <v>3.5000000000000001E-3</v>
      </c>
      <c r="N65" s="12">
        <v>2</v>
      </c>
      <c r="O65" s="12">
        <v>3</v>
      </c>
      <c r="P65" s="12">
        <v>0</v>
      </c>
      <c r="Q65" s="12">
        <v>0</v>
      </c>
    </row>
    <row r="66" spans="1:17" x14ac:dyDescent="0.35">
      <c r="A66" s="13" t="s">
        <v>224</v>
      </c>
      <c r="B66" s="25">
        <f t="shared" ref="B66:B97" ca="1" si="2">TIME(RANDBETWEEN(6,9), RANDBETWEEN(0,59), 0)</f>
        <v>0.3756944444444445</v>
      </c>
      <c r="C66" s="14">
        <v>0.20693287037037036</v>
      </c>
      <c r="D66" s="15">
        <v>24</v>
      </c>
      <c r="E66" s="15">
        <v>0.69540000000000002</v>
      </c>
      <c r="F66" s="31">
        <v>0.55700000000000005</v>
      </c>
      <c r="G66" s="15">
        <v>0.57850000000000001</v>
      </c>
      <c r="H66" s="15">
        <v>1E-4</v>
      </c>
      <c r="I66" s="15">
        <v>0.25679999999999997</v>
      </c>
      <c r="J66" s="15">
        <v>2.2499999999999999E-2</v>
      </c>
      <c r="K66" s="15">
        <v>0</v>
      </c>
      <c r="L66" s="15">
        <v>0.1386</v>
      </c>
      <c r="M66" s="15">
        <v>3.5000000000000001E-3</v>
      </c>
      <c r="N66" s="15">
        <v>2</v>
      </c>
      <c r="O66" s="15">
        <v>3</v>
      </c>
      <c r="P66" s="15">
        <v>0</v>
      </c>
      <c r="Q66" s="15">
        <v>0</v>
      </c>
    </row>
    <row r="67" spans="1:17" x14ac:dyDescent="0.35">
      <c r="A67" s="10" t="s">
        <v>225</v>
      </c>
      <c r="B67" s="24">
        <f t="shared" ca="1" si="2"/>
        <v>0.3034722222222222</v>
      </c>
      <c r="C67" s="11">
        <v>0.20693287037037036</v>
      </c>
      <c r="D67" s="12">
        <v>60</v>
      </c>
      <c r="E67" s="12">
        <v>0.69540000000000002</v>
      </c>
      <c r="F67" s="30">
        <v>0.55700000000000005</v>
      </c>
      <c r="G67" s="12">
        <v>0.57850000000000001</v>
      </c>
      <c r="H67" s="12">
        <v>1E-4</v>
      </c>
      <c r="I67" s="12">
        <v>0.25679999999999997</v>
      </c>
      <c r="J67" s="12">
        <v>2.2499999999999999E-2</v>
      </c>
      <c r="K67" s="12">
        <v>0</v>
      </c>
      <c r="L67" s="12">
        <v>0.1386</v>
      </c>
      <c r="M67" s="12">
        <v>3.5000000000000001E-3</v>
      </c>
      <c r="N67" s="12">
        <v>2</v>
      </c>
      <c r="O67" s="12">
        <v>3</v>
      </c>
      <c r="P67" s="12">
        <v>0</v>
      </c>
      <c r="Q67" s="12">
        <v>0</v>
      </c>
    </row>
    <row r="68" spans="1:17" x14ac:dyDescent="0.35">
      <c r="A68" s="13" t="s">
        <v>226</v>
      </c>
      <c r="B68" s="25">
        <f t="shared" ca="1" si="2"/>
        <v>0.32777777777777778</v>
      </c>
      <c r="C68" s="14">
        <v>0.20693287037037036</v>
      </c>
      <c r="D68" s="15">
        <v>75</v>
      </c>
      <c r="E68" s="15">
        <v>0.69540000000000002</v>
      </c>
      <c r="F68" s="31">
        <v>0.55700000000000005</v>
      </c>
      <c r="G68" s="15">
        <v>0.57850000000000001</v>
      </c>
      <c r="H68" s="15">
        <v>1E-4</v>
      </c>
      <c r="I68" s="15">
        <v>0.25679999999999997</v>
      </c>
      <c r="J68" s="15">
        <v>2.2499999999999999E-2</v>
      </c>
      <c r="K68" s="15">
        <v>0</v>
      </c>
      <c r="L68" s="15">
        <v>0.1386</v>
      </c>
      <c r="M68" s="15">
        <v>3.5000000000000001E-3</v>
      </c>
      <c r="N68" s="15">
        <v>2</v>
      </c>
      <c r="O68" s="15">
        <v>3</v>
      </c>
      <c r="P68" s="15">
        <v>0</v>
      </c>
      <c r="Q68" s="15">
        <v>0</v>
      </c>
    </row>
    <row r="69" spans="1:17" x14ac:dyDescent="0.35">
      <c r="A69" s="10" t="s">
        <v>227</v>
      </c>
      <c r="B69" s="24">
        <f t="shared" ca="1" si="2"/>
        <v>0.34722222222222227</v>
      </c>
      <c r="C69" s="11">
        <v>0.20693287037037036</v>
      </c>
      <c r="D69" s="12">
        <v>55</v>
      </c>
      <c r="E69" s="12">
        <v>0.69540000000000002</v>
      </c>
      <c r="F69" s="30">
        <v>0.55700000000000005</v>
      </c>
      <c r="G69" s="12">
        <v>0.57850000000000001</v>
      </c>
      <c r="H69" s="12">
        <v>1E-4</v>
      </c>
      <c r="I69" s="12">
        <v>0.25679999999999997</v>
      </c>
      <c r="J69" s="12">
        <v>2.2499999999999999E-2</v>
      </c>
      <c r="K69" s="12">
        <v>0</v>
      </c>
      <c r="L69" s="12">
        <v>0.1386</v>
      </c>
      <c r="M69" s="12">
        <v>3.5000000000000001E-3</v>
      </c>
      <c r="N69" s="12">
        <v>2</v>
      </c>
      <c r="O69" s="12">
        <v>3</v>
      </c>
      <c r="P69" s="12">
        <v>0</v>
      </c>
      <c r="Q69" s="12">
        <v>0</v>
      </c>
    </row>
    <row r="70" spans="1:17" x14ac:dyDescent="0.35">
      <c r="A70" s="13" t="s">
        <v>228</v>
      </c>
      <c r="B70" s="25">
        <f t="shared" ca="1" si="2"/>
        <v>0.26666666666666666</v>
      </c>
      <c r="C70" s="14">
        <v>0.20693287037037036</v>
      </c>
      <c r="D70" s="15">
        <v>93</v>
      </c>
      <c r="E70" s="15">
        <v>0.69540000000000002</v>
      </c>
      <c r="F70" s="31">
        <v>0.55700000000000005</v>
      </c>
      <c r="G70" s="15">
        <v>0.57850000000000001</v>
      </c>
      <c r="H70" s="15">
        <v>1E-4</v>
      </c>
      <c r="I70" s="15">
        <v>0.25679999999999997</v>
      </c>
      <c r="J70" s="15">
        <v>2.2499999999999999E-2</v>
      </c>
      <c r="K70" s="15">
        <v>0</v>
      </c>
      <c r="L70" s="15">
        <v>0.1386</v>
      </c>
      <c r="M70" s="15">
        <v>3.5000000000000001E-3</v>
      </c>
      <c r="N70" s="15">
        <v>2</v>
      </c>
      <c r="O70" s="15">
        <v>3</v>
      </c>
      <c r="P70" s="15">
        <v>0</v>
      </c>
      <c r="Q70" s="15">
        <v>0</v>
      </c>
    </row>
    <row r="71" spans="1:17" x14ac:dyDescent="0.35">
      <c r="A71" s="10" t="s">
        <v>229</v>
      </c>
      <c r="B71" s="24">
        <f t="shared" ca="1" si="2"/>
        <v>0.30972222222222223</v>
      </c>
      <c r="C71" s="11">
        <v>0.20693287037037036</v>
      </c>
      <c r="D71" s="12">
        <v>69</v>
      </c>
      <c r="E71" s="12">
        <v>0.69540000000000002</v>
      </c>
      <c r="F71" s="30">
        <v>0.55700000000000005</v>
      </c>
      <c r="G71" s="12">
        <v>0.57850000000000001</v>
      </c>
      <c r="H71" s="12">
        <v>1E-4</v>
      </c>
      <c r="I71" s="12">
        <v>0.25679999999999997</v>
      </c>
      <c r="J71" s="12">
        <v>2.2499999999999999E-2</v>
      </c>
      <c r="K71" s="12">
        <v>0</v>
      </c>
      <c r="L71" s="12">
        <v>0.1386</v>
      </c>
      <c r="M71" s="12">
        <v>3.5000000000000001E-3</v>
      </c>
      <c r="N71" s="12">
        <v>2</v>
      </c>
      <c r="O71" s="12">
        <v>3</v>
      </c>
      <c r="P71" s="12">
        <v>0</v>
      </c>
      <c r="Q71" s="12">
        <v>0</v>
      </c>
    </row>
    <row r="72" spans="1:17" x14ac:dyDescent="0.35">
      <c r="A72" s="13" t="s">
        <v>230</v>
      </c>
      <c r="B72" s="25">
        <f t="shared" ca="1" si="2"/>
        <v>0.31527777777777777</v>
      </c>
      <c r="C72" s="14">
        <v>0.20693287037037036</v>
      </c>
      <c r="D72" s="15">
        <v>23</v>
      </c>
      <c r="E72" s="15">
        <v>0.69540000000000002</v>
      </c>
      <c r="F72" s="31">
        <v>0.55700000000000005</v>
      </c>
      <c r="G72" s="15">
        <v>0.57850000000000001</v>
      </c>
      <c r="H72" s="15">
        <v>1E-4</v>
      </c>
      <c r="I72" s="15">
        <v>0.25679999999999997</v>
      </c>
      <c r="J72" s="15">
        <v>2.2499999999999999E-2</v>
      </c>
      <c r="K72" s="15">
        <v>0</v>
      </c>
      <c r="L72" s="15">
        <v>0.1386</v>
      </c>
      <c r="M72" s="15">
        <v>3.5000000000000001E-3</v>
      </c>
      <c r="N72" s="15">
        <v>2</v>
      </c>
      <c r="O72" s="15">
        <v>3</v>
      </c>
      <c r="P72" s="15">
        <v>0</v>
      </c>
      <c r="Q72" s="15">
        <v>0</v>
      </c>
    </row>
    <row r="73" spans="1:17" x14ac:dyDescent="0.35">
      <c r="A73" s="10" t="s">
        <v>231</v>
      </c>
      <c r="B73" s="24">
        <f t="shared" ca="1" si="2"/>
        <v>0.37222222222222223</v>
      </c>
      <c r="C73" s="11">
        <v>0.20693287037037036</v>
      </c>
      <c r="D73" s="12">
        <v>79</v>
      </c>
      <c r="E73" s="12">
        <v>0.69540000000000002</v>
      </c>
      <c r="F73" s="30">
        <v>0.55700000000000005</v>
      </c>
      <c r="G73" s="12">
        <v>0.57850000000000001</v>
      </c>
      <c r="H73" s="12">
        <v>1E-4</v>
      </c>
      <c r="I73" s="12">
        <v>0.25679999999999997</v>
      </c>
      <c r="J73" s="12">
        <v>2.2499999999999999E-2</v>
      </c>
      <c r="K73" s="12">
        <v>0</v>
      </c>
      <c r="L73" s="12">
        <v>0.1386</v>
      </c>
      <c r="M73" s="12">
        <v>3.5000000000000001E-3</v>
      </c>
      <c r="N73" s="12">
        <v>2</v>
      </c>
      <c r="O73" s="12">
        <v>3</v>
      </c>
      <c r="P73" s="12">
        <v>0</v>
      </c>
      <c r="Q73" s="12">
        <v>0</v>
      </c>
    </row>
    <row r="74" spans="1:17" x14ac:dyDescent="0.35">
      <c r="A74" s="13" t="s">
        <v>232</v>
      </c>
      <c r="B74" s="25">
        <f t="shared" ca="1" si="2"/>
        <v>0.28333333333333333</v>
      </c>
      <c r="C74" s="14">
        <v>0.20693287037037036</v>
      </c>
      <c r="D74" s="15">
        <v>80</v>
      </c>
      <c r="E74" s="15">
        <v>0.69540000000000002</v>
      </c>
      <c r="F74" s="31">
        <v>0.55700000000000005</v>
      </c>
      <c r="G74" s="15">
        <v>0.57850000000000001</v>
      </c>
      <c r="H74" s="15">
        <v>1E-4</v>
      </c>
      <c r="I74" s="15">
        <v>0.25679999999999997</v>
      </c>
      <c r="J74" s="15">
        <v>2.2499999999999999E-2</v>
      </c>
      <c r="K74" s="15">
        <v>0</v>
      </c>
      <c r="L74" s="15">
        <v>0.1386</v>
      </c>
      <c r="M74" s="15">
        <v>3.5000000000000001E-3</v>
      </c>
      <c r="N74" s="15">
        <v>2</v>
      </c>
      <c r="O74" s="15">
        <v>3</v>
      </c>
      <c r="P74" s="15">
        <v>0</v>
      </c>
      <c r="Q74" s="15">
        <v>0</v>
      </c>
    </row>
    <row r="75" spans="1:17" x14ac:dyDescent="0.35">
      <c r="A75" s="10" t="s">
        <v>233</v>
      </c>
      <c r="B75" s="24">
        <f t="shared" ca="1" si="2"/>
        <v>0.28125</v>
      </c>
      <c r="C75" s="11">
        <v>0.20693287037037036</v>
      </c>
      <c r="D75" s="12">
        <v>64</v>
      </c>
      <c r="E75" s="12">
        <v>0.69540000000000002</v>
      </c>
      <c r="F75" s="30">
        <v>0.55700000000000005</v>
      </c>
      <c r="G75" s="12">
        <v>0.57850000000000001</v>
      </c>
      <c r="H75" s="12">
        <v>1E-4</v>
      </c>
      <c r="I75" s="12">
        <v>0.25679999999999997</v>
      </c>
      <c r="J75" s="12">
        <v>2.2499999999999999E-2</v>
      </c>
      <c r="K75" s="12">
        <v>0</v>
      </c>
      <c r="L75" s="12">
        <v>0.1386</v>
      </c>
      <c r="M75" s="12">
        <v>3.5000000000000001E-3</v>
      </c>
      <c r="N75" s="12">
        <v>2</v>
      </c>
      <c r="O75" s="12">
        <v>3</v>
      </c>
      <c r="P75" s="12">
        <v>0</v>
      </c>
      <c r="Q75" s="12">
        <v>0</v>
      </c>
    </row>
    <row r="76" spans="1:17" x14ac:dyDescent="0.35">
      <c r="A76" s="13" t="s">
        <v>234</v>
      </c>
      <c r="B76" s="25">
        <f t="shared" ca="1" si="2"/>
        <v>0.39999999999999997</v>
      </c>
      <c r="C76" s="14">
        <v>0.20693287037037036</v>
      </c>
      <c r="D76" s="15">
        <v>36</v>
      </c>
      <c r="E76" s="15">
        <v>0.69540000000000002</v>
      </c>
      <c r="F76" s="31">
        <v>0.55700000000000005</v>
      </c>
      <c r="G76" s="15">
        <v>0.57850000000000001</v>
      </c>
      <c r="H76" s="15">
        <v>1E-4</v>
      </c>
      <c r="I76" s="15">
        <v>0.25679999999999997</v>
      </c>
      <c r="J76" s="15">
        <v>2.2499999999999999E-2</v>
      </c>
      <c r="K76" s="15">
        <v>0</v>
      </c>
      <c r="L76" s="15">
        <v>0.1386</v>
      </c>
      <c r="M76" s="15">
        <v>3.5000000000000001E-3</v>
      </c>
      <c r="N76" s="15">
        <v>2</v>
      </c>
      <c r="O76" s="15">
        <v>3</v>
      </c>
      <c r="P76" s="15">
        <v>0</v>
      </c>
      <c r="Q76" s="15">
        <v>0</v>
      </c>
    </row>
    <row r="77" spans="1:17" x14ac:dyDescent="0.35">
      <c r="A77" s="10" t="s">
        <v>235</v>
      </c>
      <c r="B77" s="24">
        <f t="shared" ca="1" si="2"/>
        <v>0.32847222222222222</v>
      </c>
      <c r="C77" s="11">
        <v>0.20693287037037036</v>
      </c>
      <c r="D77" s="12">
        <v>58</v>
      </c>
      <c r="E77" s="12">
        <v>0.69540000000000002</v>
      </c>
      <c r="F77" s="30">
        <v>0.55700000000000005</v>
      </c>
      <c r="G77" s="12">
        <v>0.57850000000000001</v>
      </c>
      <c r="H77" s="12">
        <v>1E-4</v>
      </c>
      <c r="I77" s="12">
        <v>0.25679999999999997</v>
      </c>
      <c r="J77" s="12">
        <v>2.2499999999999999E-2</v>
      </c>
      <c r="K77" s="12">
        <v>0</v>
      </c>
      <c r="L77" s="12">
        <v>0.1386</v>
      </c>
      <c r="M77" s="12">
        <v>3.5000000000000001E-3</v>
      </c>
      <c r="N77" s="12">
        <v>2</v>
      </c>
      <c r="O77" s="12">
        <v>3</v>
      </c>
      <c r="P77" s="12">
        <v>0</v>
      </c>
      <c r="Q77" s="12">
        <v>0</v>
      </c>
    </row>
    <row r="78" spans="1:17" x14ac:dyDescent="0.35">
      <c r="A78" s="13" t="s">
        <v>236</v>
      </c>
      <c r="B78" s="25">
        <f t="shared" ca="1" si="2"/>
        <v>0.28750000000000003</v>
      </c>
      <c r="C78" s="14">
        <v>0.20693287037037036</v>
      </c>
      <c r="D78" s="15">
        <v>53</v>
      </c>
      <c r="E78" s="15">
        <v>0.69540000000000002</v>
      </c>
      <c r="F78" s="31">
        <v>0.55700000000000005</v>
      </c>
      <c r="G78" s="15">
        <v>0.57850000000000001</v>
      </c>
      <c r="H78" s="15">
        <v>1E-4</v>
      </c>
      <c r="I78" s="15">
        <v>0.25679999999999997</v>
      </c>
      <c r="J78" s="15">
        <v>2.2499999999999999E-2</v>
      </c>
      <c r="K78" s="15">
        <v>0</v>
      </c>
      <c r="L78" s="15">
        <v>0.1386</v>
      </c>
      <c r="M78" s="15">
        <v>3.5000000000000001E-3</v>
      </c>
      <c r="N78" s="15">
        <v>2</v>
      </c>
      <c r="O78" s="15">
        <v>3</v>
      </c>
      <c r="P78" s="15">
        <v>0</v>
      </c>
      <c r="Q78" s="15">
        <v>0</v>
      </c>
    </row>
    <row r="79" spans="1:17" x14ac:dyDescent="0.35">
      <c r="A79" s="10" t="s">
        <v>237</v>
      </c>
      <c r="B79" s="24">
        <f t="shared" ca="1" si="2"/>
        <v>0.36249999999999999</v>
      </c>
      <c r="C79" s="11">
        <v>0.20693287037037036</v>
      </c>
      <c r="D79" s="12">
        <v>21</v>
      </c>
      <c r="E79" s="12">
        <v>0.69540000000000002</v>
      </c>
      <c r="F79" s="30">
        <v>0.55700000000000005</v>
      </c>
      <c r="G79" s="12">
        <v>0.57850000000000001</v>
      </c>
      <c r="H79" s="12">
        <v>1E-4</v>
      </c>
      <c r="I79" s="12">
        <v>0.25679999999999997</v>
      </c>
      <c r="J79" s="12">
        <v>2.2499999999999999E-2</v>
      </c>
      <c r="K79" s="12">
        <v>0</v>
      </c>
      <c r="L79" s="12">
        <v>0.1386</v>
      </c>
      <c r="M79" s="12">
        <v>3.5000000000000001E-3</v>
      </c>
      <c r="N79" s="12">
        <v>2</v>
      </c>
      <c r="O79" s="12">
        <v>3</v>
      </c>
      <c r="P79" s="12">
        <v>0</v>
      </c>
      <c r="Q79" s="12">
        <v>0</v>
      </c>
    </row>
    <row r="80" spans="1:17" x14ac:dyDescent="0.35">
      <c r="A80" s="13" t="s">
        <v>238</v>
      </c>
      <c r="B80" s="25">
        <f t="shared" ca="1" si="2"/>
        <v>0.39305555555555555</v>
      </c>
      <c r="C80" s="14">
        <v>0.20693287037037036</v>
      </c>
      <c r="D80" s="15">
        <v>73</v>
      </c>
      <c r="E80" s="15">
        <v>0.69540000000000002</v>
      </c>
      <c r="F80" s="31">
        <v>0.55700000000000005</v>
      </c>
      <c r="G80" s="15">
        <v>0.57850000000000001</v>
      </c>
      <c r="H80" s="15">
        <v>1E-4</v>
      </c>
      <c r="I80" s="15">
        <v>0.25679999999999997</v>
      </c>
      <c r="J80" s="15">
        <v>2.2499999999999999E-2</v>
      </c>
      <c r="K80" s="15">
        <v>0</v>
      </c>
      <c r="L80" s="15">
        <v>0.1386</v>
      </c>
      <c r="M80" s="15">
        <v>3.5000000000000001E-3</v>
      </c>
      <c r="N80" s="15">
        <v>2</v>
      </c>
      <c r="O80" s="15">
        <v>3</v>
      </c>
      <c r="P80" s="15">
        <v>0</v>
      </c>
      <c r="Q80" s="15">
        <v>0</v>
      </c>
    </row>
    <row r="81" spans="1:17" x14ac:dyDescent="0.35">
      <c r="A81" s="10" t="s">
        <v>239</v>
      </c>
      <c r="B81" s="24">
        <f t="shared" ca="1" si="2"/>
        <v>0.27499999999999997</v>
      </c>
      <c r="C81" s="11">
        <v>0.20693287037037036</v>
      </c>
      <c r="D81" s="12">
        <v>61</v>
      </c>
      <c r="E81" s="12">
        <v>0.69540000000000002</v>
      </c>
      <c r="F81" s="30">
        <v>0.55700000000000005</v>
      </c>
      <c r="G81" s="12">
        <v>0.57850000000000001</v>
      </c>
      <c r="H81" s="12">
        <v>1E-4</v>
      </c>
      <c r="I81" s="12">
        <v>0.25679999999999997</v>
      </c>
      <c r="J81" s="12">
        <v>2.2499999999999999E-2</v>
      </c>
      <c r="K81" s="12">
        <v>0</v>
      </c>
      <c r="L81" s="12">
        <v>0.1386</v>
      </c>
      <c r="M81" s="12">
        <v>3.5000000000000001E-3</v>
      </c>
      <c r="N81" s="12">
        <v>2</v>
      </c>
      <c r="O81" s="12">
        <v>3</v>
      </c>
      <c r="P81" s="12">
        <v>0</v>
      </c>
      <c r="Q81" s="12">
        <v>0</v>
      </c>
    </row>
    <row r="82" spans="1:17" x14ac:dyDescent="0.35">
      <c r="A82" s="13" t="s">
        <v>240</v>
      </c>
      <c r="B82" s="25">
        <f t="shared" ca="1" si="2"/>
        <v>0.27916666666666667</v>
      </c>
      <c r="C82" s="14">
        <v>0.20693287037037036</v>
      </c>
      <c r="D82" s="15">
        <v>96</v>
      </c>
      <c r="E82" s="15">
        <v>0.69540000000000002</v>
      </c>
      <c r="F82" s="31">
        <v>0.55700000000000005</v>
      </c>
      <c r="G82" s="15">
        <v>0.57850000000000001</v>
      </c>
      <c r="H82" s="15">
        <v>1E-4</v>
      </c>
      <c r="I82" s="15">
        <v>0.25679999999999997</v>
      </c>
      <c r="J82" s="15">
        <v>2.2499999999999999E-2</v>
      </c>
      <c r="K82" s="15">
        <v>0</v>
      </c>
      <c r="L82" s="15">
        <v>0.1386</v>
      </c>
      <c r="M82" s="15">
        <v>3.5000000000000001E-3</v>
      </c>
      <c r="N82" s="15">
        <v>2</v>
      </c>
      <c r="O82" s="15">
        <v>3</v>
      </c>
      <c r="P82" s="15">
        <v>0</v>
      </c>
      <c r="Q82" s="15">
        <v>0</v>
      </c>
    </row>
    <row r="83" spans="1:17" x14ac:dyDescent="0.35">
      <c r="A83" s="10" t="s">
        <v>241</v>
      </c>
      <c r="B83" s="24">
        <f t="shared" ca="1" si="2"/>
        <v>0.32291666666666669</v>
      </c>
      <c r="C83" s="11">
        <v>0.20693287037037036</v>
      </c>
      <c r="D83" s="12">
        <v>24</v>
      </c>
      <c r="E83" s="12">
        <v>0.69540000000000002</v>
      </c>
      <c r="F83" s="30">
        <v>0.55700000000000005</v>
      </c>
      <c r="G83" s="12">
        <v>0.57850000000000001</v>
      </c>
      <c r="H83" s="12">
        <v>1E-4</v>
      </c>
      <c r="I83" s="12">
        <v>0.25679999999999997</v>
      </c>
      <c r="J83" s="12">
        <v>2.2499999999999999E-2</v>
      </c>
      <c r="K83" s="12">
        <v>0</v>
      </c>
      <c r="L83" s="12">
        <v>0.1386</v>
      </c>
      <c r="M83" s="12">
        <v>3.5000000000000001E-3</v>
      </c>
      <c r="N83" s="12">
        <v>2</v>
      </c>
      <c r="O83" s="12">
        <v>3</v>
      </c>
      <c r="P83" s="12">
        <v>0</v>
      </c>
      <c r="Q83" s="12">
        <v>0</v>
      </c>
    </row>
    <row r="84" spans="1:17" x14ac:dyDescent="0.35">
      <c r="A84" s="13" t="s">
        <v>242</v>
      </c>
      <c r="B84" s="25">
        <f t="shared" ca="1" si="2"/>
        <v>0.30694444444444441</v>
      </c>
      <c r="C84" s="14">
        <v>0.20693287037037036</v>
      </c>
      <c r="D84" s="15">
        <v>51</v>
      </c>
      <c r="E84" s="15">
        <v>0.69540000000000002</v>
      </c>
      <c r="F84" s="31">
        <v>0.55700000000000005</v>
      </c>
      <c r="G84" s="15">
        <v>0.57850000000000001</v>
      </c>
      <c r="H84" s="15">
        <v>1E-4</v>
      </c>
      <c r="I84" s="15">
        <v>0.25679999999999997</v>
      </c>
      <c r="J84" s="15">
        <v>2.2499999999999999E-2</v>
      </c>
      <c r="K84" s="15">
        <v>0</v>
      </c>
      <c r="L84" s="15">
        <v>0.1386</v>
      </c>
      <c r="M84" s="15">
        <v>3.5000000000000001E-3</v>
      </c>
      <c r="N84" s="15">
        <v>2</v>
      </c>
      <c r="O84" s="15">
        <v>3</v>
      </c>
      <c r="P84" s="15">
        <v>0</v>
      </c>
      <c r="Q84" s="15">
        <v>0</v>
      </c>
    </row>
    <row r="85" spans="1:17" x14ac:dyDescent="0.35">
      <c r="A85" s="10" t="s">
        <v>243</v>
      </c>
      <c r="B85" s="24">
        <f t="shared" ca="1" si="2"/>
        <v>0.33749999999999997</v>
      </c>
      <c r="C85" s="11">
        <v>0.20693287037037036</v>
      </c>
      <c r="D85" s="12">
        <v>42</v>
      </c>
      <c r="E85" s="12">
        <v>0.69540000000000002</v>
      </c>
      <c r="F85" s="30">
        <v>0.55700000000000005</v>
      </c>
      <c r="G85" s="12">
        <v>0.57850000000000001</v>
      </c>
      <c r="H85" s="12">
        <v>1E-4</v>
      </c>
      <c r="I85" s="12">
        <v>0.25679999999999997</v>
      </c>
      <c r="J85" s="12">
        <v>2.2499999999999999E-2</v>
      </c>
      <c r="K85" s="12">
        <v>0</v>
      </c>
      <c r="L85" s="12">
        <v>0.1386</v>
      </c>
      <c r="M85" s="12">
        <v>3.5000000000000001E-3</v>
      </c>
      <c r="N85" s="12">
        <v>2</v>
      </c>
      <c r="O85" s="12">
        <v>3</v>
      </c>
      <c r="P85" s="12">
        <v>0</v>
      </c>
      <c r="Q85" s="12">
        <v>0</v>
      </c>
    </row>
    <row r="86" spans="1:17" x14ac:dyDescent="0.35">
      <c r="A86" s="13" t="s">
        <v>244</v>
      </c>
      <c r="B86" s="25">
        <f t="shared" ca="1" si="2"/>
        <v>0.29444444444444445</v>
      </c>
      <c r="C86" s="14">
        <v>0.20693287037037036</v>
      </c>
      <c r="D86" s="15">
        <v>58</v>
      </c>
      <c r="E86" s="15">
        <v>0.69540000000000002</v>
      </c>
      <c r="F86" s="31">
        <v>0.55700000000000005</v>
      </c>
      <c r="G86" s="15">
        <v>0.57850000000000001</v>
      </c>
      <c r="H86" s="15">
        <v>1E-4</v>
      </c>
      <c r="I86" s="15">
        <v>0.25679999999999997</v>
      </c>
      <c r="J86" s="15">
        <v>2.2499999999999999E-2</v>
      </c>
      <c r="K86" s="15">
        <v>0</v>
      </c>
      <c r="L86" s="15">
        <v>0.1386</v>
      </c>
      <c r="M86" s="15">
        <v>3.5000000000000001E-3</v>
      </c>
      <c r="N86" s="15">
        <v>2</v>
      </c>
      <c r="O86" s="15">
        <v>3</v>
      </c>
      <c r="P86" s="15">
        <v>0</v>
      </c>
      <c r="Q86" s="15">
        <v>0</v>
      </c>
    </row>
    <row r="87" spans="1:17" x14ac:dyDescent="0.35">
      <c r="A87" s="10" t="s">
        <v>245</v>
      </c>
      <c r="B87" s="24">
        <f t="shared" ca="1" si="2"/>
        <v>0.40486111111111112</v>
      </c>
      <c r="C87" s="11">
        <v>0.20693287037037036</v>
      </c>
      <c r="D87" s="12">
        <v>96</v>
      </c>
      <c r="E87" s="12">
        <v>0.69540000000000002</v>
      </c>
      <c r="F87" s="30">
        <v>0.55700000000000005</v>
      </c>
      <c r="G87" s="12">
        <v>0.57850000000000001</v>
      </c>
      <c r="H87" s="12">
        <v>1E-4</v>
      </c>
      <c r="I87" s="12">
        <v>0.25679999999999997</v>
      </c>
      <c r="J87" s="12">
        <v>2.2499999999999999E-2</v>
      </c>
      <c r="K87" s="12">
        <v>0</v>
      </c>
      <c r="L87" s="12">
        <v>0.1386</v>
      </c>
      <c r="M87" s="12">
        <v>3.5000000000000001E-3</v>
      </c>
      <c r="N87" s="12">
        <v>2</v>
      </c>
      <c r="O87" s="12">
        <v>3</v>
      </c>
      <c r="P87" s="12">
        <v>0</v>
      </c>
      <c r="Q87" s="12">
        <v>0</v>
      </c>
    </row>
    <row r="88" spans="1:17" x14ac:dyDescent="0.35">
      <c r="A88" s="13" t="s">
        <v>246</v>
      </c>
      <c r="B88" s="25">
        <f t="shared" ca="1" si="2"/>
        <v>0.31111111111111112</v>
      </c>
      <c r="C88" s="14">
        <v>0.20693287037037036</v>
      </c>
      <c r="D88" s="15">
        <v>83</v>
      </c>
      <c r="E88" s="15">
        <v>0.69540000000000002</v>
      </c>
      <c r="F88" s="31">
        <v>0.55700000000000005</v>
      </c>
      <c r="G88" s="15">
        <v>0.57850000000000001</v>
      </c>
      <c r="H88" s="15">
        <v>1E-4</v>
      </c>
      <c r="I88" s="15">
        <v>0.25679999999999997</v>
      </c>
      <c r="J88" s="15">
        <v>2.2499999999999999E-2</v>
      </c>
      <c r="K88" s="15">
        <v>0</v>
      </c>
      <c r="L88" s="15">
        <v>0.1386</v>
      </c>
      <c r="M88" s="15">
        <v>3.5000000000000001E-3</v>
      </c>
      <c r="N88" s="15">
        <v>2</v>
      </c>
      <c r="O88" s="15">
        <v>3</v>
      </c>
      <c r="P88" s="15">
        <v>0</v>
      </c>
      <c r="Q88" s="15">
        <v>0</v>
      </c>
    </row>
    <row r="89" spans="1:17" x14ac:dyDescent="0.35">
      <c r="A89" s="10" t="s">
        <v>247</v>
      </c>
      <c r="B89" s="24">
        <f t="shared" ca="1" si="2"/>
        <v>0.31805555555555554</v>
      </c>
      <c r="C89" s="11">
        <v>0.20693287037037036</v>
      </c>
      <c r="D89" s="12">
        <v>99</v>
      </c>
      <c r="E89" s="12">
        <v>0.69540000000000002</v>
      </c>
      <c r="F89" s="30">
        <v>0.55700000000000005</v>
      </c>
      <c r="G89" s="12">
        <v>0.57850000000000001</v>
      </c>
      <c r="H89" s="12">
        <v>1E-4</v>
      </c>
      <c r="I89" s="12">
        <v>0.25679999999999997</v>
      </c>
      <c r="J89" s="12">
        <v>2.2499999999999999E-2</v>
      </c>
      <c r="K89" s="12">
        <v>0</v>
      </c>
      <c r="L89" s="12">
        <v>0.1386</v>
      </c>
      <c r="M89" s="12">
        <v>3.5000000000000001E-3</v>
      </c>
      <c r="N89" s="12">
        <v>2</v>
      </c>
      <c r="O89" s="12">
        <v>3</v>
      </c>
      <c r="P89" s="12">
        <v>0</v>
      </c>
      <c r="Q89" s="12">
        <v>0</v>
      </c>
    </row>
    <row r="90" spans="1:17" x14ac:dyDescent="0.35">
      <c r="A90" s="13" t="s">
        <v>248</v>
      </c>
      <c r="B90" s="25">
        <f t="shared" ca="1" si="2"/>
        <v>0.40902777777777777</v>
      </c>
      <c r="C90" s="14">
        <v>0.20693287037037036</v>
      </c>
      <c r="D90" s="15">
        <v>91</v>
      </c>
      <c r="E90" s="15">
        <v>0.69540000000000002</v>
      </c>
      <c r="F90" s="31">
        <v>0.55700000000000005</v>
      </c>
      <c r="G90" s="15">
        <v>0.57850000000000001</v>
      </c>
      <c r="H90" s="15">
        <v>1E-4</v>
      </c>
      <c r="I90" s="15">
        <v>0.25679999999999997</v>
      </c>
      <c r="J90" s="15">
        <v>2.2499999999999999E-2</v>
      </c>
      <c r="K90" s="15">
        <v>0</v>
      </c>
      <c r="L90" s="15">
        <v>0.1386</v>
      </c>
      <c r="M90" s="15">
        <v>3.5000000000000001E-3</v>
      </c>
      <c r="N90" s="15">
        <v>2</v>
      </c>
      <c r="O90" s="15">
        <v>3</v>
      </c>
      <c r="P90" s="15">
        <v>0</v>
      </c>
      <c r="Q90" s="15">
        <v>0</v>
      </c>
    </row>
    <row r="91" spans="1:17" x14ac:dyDescent="0.35">
      <c r="A91" s="10" t="s">
        <v>249</v>
      </c>
      <c r="B91" s="24">
        <f t="shared" ca="1" si="2"/>
        <v>0.30763888888888891</v>
      </c>
      <c r="C91" s="11">
        <v>0.20693287037037036</v>
      </c>
      <c r="D91" s="12">
        <v>66</v>
      </c>
      <c r="E91" s="12">
        <v>0.69540000000000002</v>
      </c>
      <c r="F91" s="30">
        <v>0.55700000000000005</v>
      </c>
      <c r="G91" s="12">
        <v>0.57850000000000001</v>
      </c>
      <c r="H91" s="12">
        <v>1E-4</v>
      </c>
      <c r="I91" s="12">
        <v>0.25679999999999997</v>
      </c>
      <c r="J91" s="12">
        <v>2.2499999999999999E-2</v>
      </c>
      <c r="K91" s="12">
        <v>0</v>
      </c>
      <c r="L91" s="12">
        <v>0.1386</v>
      </c>
      <c r="M91" s="12">
        <v>3.5000000000000001E-3</v>
      </c>
      <c r="N91" s="12">
        <v>2</v>
      </c>
      <c r="O91" s="12">
        <v>3</v>
      </c>
      <c r="P91" s="12">
        <v>0</v>
      </c>
      <c r="Q91" s="12">
        <v>0</v>
      </c>
    </row>
    <row r="92" spans="1:17" x14ac:dyDescent="0.35">
      <c r="A92" s="13" t="s">
        <v>250</v>
      </c>
      <c r="B92" s="25">
        <f t="shared" ca="1" si="2"/>
        <v>0.25347222222222221</v>
      </c>
      <c r="C92" s="14">
        <v>0.20693287037037036</v>
      </c>
      <c r="D92" s="15">
        <v>62</v>
      </c>
      <c r="E92" s="15">
        <v>0.69540000000000002</v>
      </c>
      <c r="F92" s="31">
        <v>0.55700000000000005</v>
      </c>
      <c r="G92" s="15">
        <v>0.57850000000000001</v>
      </c>
      <c r="H92" s="15">
        <v>1E-4</v>
      </c>
      <c r="I92" s="15">
        <v>0.25679999999999997</v>
      </c>
      <c r="J92" s="15">
        <v>2.2499999999999999E-2</v>
      </c>
      <c r="K92" s="15">
        <v>0</v>
      </c>
      <c r="L92" s="15">
        <v>0.1386</v>
      </c>
      <c r="M92" s="15">
        <v>3.5000000000000001E-3</v>
      </c>
      <c r="N92" s="15">
        <v>2</v>
      </c>
      <c r="O92" s="15">
        <v>3</v>
      </c>
      <c r="P92" s="15">
        <v>0</v>
      </c>
      <c r="Q92" s="15">
        <v>0</v>
      </c>
    </row>
    <row r="93" spans="1:17" x14ac:dyDescent="0.35">
      <c r="A93" s="10" t="s">
        <v>251</v>
      </c>
      <c r="B93" s="24">
        <f t="shared" ca="1" si="2"/>
        <v>0.41388888888888892</v>
      </c>
      <c r="C93" s="11">
        <v>0.20693287037037036</v>
      </c>
      <c r="D93" s="12">
        <v>66</v>
      </c>
      <c r="E93" s="12">
        <v>0.69540000000000002</v>
      </c>
      <c r="F93" s="30">
        <v>0.55700000000000005</v>
      </c>
      <c r="G93" s="12">
        <v>0.57850000000000001</v>
      </c>
      <c r="H93" s="12">
        <v>1E-4</v>
      </c>
      <c r="I93" s="12">
        <v>0.25679999999999997</v>
      </c>
      <c r="J93" s="12">
        <v>2.2499999999999999E-2</v>
      </c>
      <c r="K93" s="12">
        <v>0</v>
      </c>
      <c r="L93" s="12">
        <v>0.1386</v>
      </c>
      <c r="M93" s="12">
        <v>3.5000000000000001E-3</v>
      </c>
      <c r="N93" s="12">
        <v>2</v>
      </c>
      <c r="O93" s="12">
        <v>3</v>
      </c>
      <c r="P93" s="12">
        <v>0</v>
      </c>
      <c r="Q93" s="12">
        <v>0</v>
      </c>
    </row>
    <row r="94" spans="1:17" x14ac:dyDescent="0.35">
      <c r="A94" s="13" t="s">
        <v>252</v>
      </c>
      <c r="B94" s="25">
        <f t="shared" ca="1" si="2"/>
        <v>0.30833333333333335</v>
      </c>
      <c r="C94" s="14">
        <v>0.20693287037037036</v>
      </c>
      <c r="D94" s="15">
        <v>51</v>
      </c>
      <c r="E94" s="15">
        <v>0.69540000000000002</v>
      </c>
      <c r="F94" s="31">
        <v>0.55700000000000005</v>
      </c>
      <c r="G94" s="15">
        <v>0.57850000000000001</v>
      </c>
      <c r="H94" s="15">
        <v>1E-4</v>
      </c>
      <c r="I94" s="15">
        <v>0.25679999999999997</v>
      </c>
      <c r="J94" s="15">
        <v>2.2499999999999999E-2</v>
      </c>
      <c r="K94" s="15">
        <v>0</v>
      </c>
      <c r="L94" s="15">
        <v>0.1386</v>
      </c>
      <c r="M94" s="15">
        <v>3.5000000000000001E-3</v>
      </c>
      <c r="N94" s="15">
        <v>2</v>
      </c>
      <c r="O94" s="15">
        <v>3</v>
      </c>
      <c r="P94" s="15">
        <v>0</v>
      </c>
      <c r="Q94" s="15">
        <v>0</v>
      </c>
    </row>
    <row r="95" spans="1:17" x14ac:dyDescent="0.35">
      <c r="A95" s="10" t="s">
        <v>253</v>
      </c>
      <c r="B95" s="24">
        <f t="shared" ca="1" si="2"/>
        <v>0.35138888888888892</v>
      </c>
      <c r="C95" s="11">
        <v>0.20693287037037036</v>
      </c>
      <c r="D95" s="12">
        <v>74</v>
      </c>
      <c r="E95" s="12">
        <v>0.69540000000000002</v>
      </c>
      <c r="F95" s="30">
        <v>0.55700000000000005</v>
      </c>
      <c r="G95" s="12">
        <v>0.57850000000000001</v>
      </c>
      <c r="H95" s="12">
        <v>1E-4</v>
      </c>
      <c r="I95" s="12">
        <v>0.25679999999999997</v>
      </c>
      <c r="J95" s="12">
        <v>2.2499999999999999E-2</v>
      </c>
      <c r="K95" s="12">
        <v>0</v>
      </c>
      <c r="L95" s="12">
        <v>0.1386</v>
      </c>
      <c r="M95" s="12">
        <v>3.5000000000000001E-3</v>
      </c>
      <c r="N95" s="12">
        <v>2</v>
      </c>
      <c r="O95" s="12">
        <v>3</v>
      </c>
      <c r="P95" s="12">
        <v>0</v>
      </c>
      <c r="Q95" s="12">
        <v>0</v>
      </c>
    </row>
    <row r="96" spans="1:17" x14ac:dyDescent="0.35">
      <c r="A96" s="13" t="s">
        <v>254</v>
      </c>
      <c r="B96" s="25">
        <f t="shared" ca="1" si="2"/>
        <v>0.35486111111111113</v>
      </c>
      <c r="C96" s="14">
        <v>0.20693287037037036</v>
      </c>
      <c r="D96" s="15">
        <v>35</v>
      </c>
      <c r="E96" s="15">
        <v>0.69540000000000002</v>
      </c>
      <c r="F96" s="31">
        <v>0.55700000000000005</v>
      </c>
      <c r="G96" s="15">
        <v>0.57850000000000001</v>
      </c>
      <c r="H96" s="15">
        <v>1E-4</v>
      </c>
      <c r="I96" s="15">
        <v>0.25679999999999997</v>
      </c>
      <c r="J96" s="15">
        <v>2.2499999999999999E-2</v>
      </c>
      <c r="K96" s="15">
        <v>0</v>
      </c>
      <c r="L96" s="15">
        <v>0.1386</v>
      </c>
      <c r="M96" s="15">
        <v>3.5000000000000001E-3</v>
      </c>
      <c r="N96" s="15">
        <v>2</v>
      </c>
      <c r="O96" s="15">
        <v>3</v>
      </c>
      <c r="P96" s="15">
        <v>0</v>
      </c>
      <c r="Q96" s="15">
        <v>0</v>
      </c>
    </row>
    <row r="97" spans="1:17" x14ac:dyDescent="0.35">
      <c r="A97" s="10" t="s">
        <v>255</v>
      </c>
      <c r="B97" s="24">
        <f t="shared" ca="1" si="2"/>
        <v>0.3923611111111111</v>
      </c>
      <c r="C97" s="11">
        <v>0.20693287037037036</v>
      </c>
      <c r="D97" s="12">
        <v>70</v>
      </c>
      <c r="E97" s="12">
        <v>0.69540000000000002</v>
      </c>
      <c r="F97" s="30">
        <v>0.55700000000000005</v>
      </c>
      <c r="G97" s="12">
        <v>0.57850000000000001</v>
      </c>
      <c r="H97" s="12">
        <v>1E-4</v>
      </c>
      <c r="I97" s="12">
        <v>0.25679999999999997</v>
      </c>
      <c r="J97" s="12">
        <v>2.2499999999999999E-2</v>
      </c>
      <c r="K97" s="12">
        <v>0</v>
      </c>
      <c r="L97" s="12">
        <v>0.1386</v>
      </c>
      <c r="M97" s="12">
        <v>3.5000000000000001E-3</v>
      </c>
      <c r="N97" s="12">
        <v>2</v>
      </c>
      <c r="O97" s="12">
        <v>3</v>
      </c>
      <c r="P97" s="12">
        <v>0</v>
      </c>
      <c r="Q97" s="12">
        <v>0</v>
      </c>
    </row>
    <row r="98" spans="1:17" x14ac:dyDescent="0.35">
      <c r="A98" s="13" t="s">
        <v>256</v>
      </c>
      <c r="B98" s="25">
        <f t="shared" ref="B98:B129" ca="1" si="3">TIME(RANDBETWEEN(6,9), RANDBETWEEN(0,59), 0)</f>
        <v>0.37361111111111112</v>
      </c>
      <c r="C98" s="14">
        <v>0.20693287037037036</v>
      </c>
      <c r="D98" s="15">
        <v>80</v>
      </c>
      <c r="E98" s="15">
        <v>0.69540000000000002</v>
      </c>
      <c r="F98" s="31">
        <v>0.55700000000000005</v>
      </c>
      <c r="G98" s="15">
        <v>0.57850000000000001</v>
      </c>
      <c r="H98" s="15">
        <v>1E-4</v>
      </c>
      <c r="I98" s="15">
        <v>0.25679999999999997</v>
      </c>
      <c r="J98" s="15">
        <v>2.2499999999999999E-2</v>
      </c>
      <c r="K98" s="15">
        <v>0</v>
      </c>
      <c r="L98" s="15">
        <v>0.1386</v>
      </c>
      <c r="M98" s="15">
        <v>3.5000000000000001E-3</v>
      </c>
      <c r="N98" s="15">
        <v>2</v>
      </c>
      <c r="O98" s="15">
        <v>3</v>
      </c>
      <c r="P98" s="15">
        <v>0</v>
      </c>
      <c r="Q98" s="15">
        <v>0</v>
      </c>
    </row>
    <row r="99" spans="1:17" x14ac:dyDescent="0.35">
      <c r="A99" s="10" t="s">
        <v>257</v>
      </c>
      <c r="B99" s="24">
        <f t="shared" ca="1" si="3"/>
        <v>0.33958333333333335</v>
      </c>
      <c r="C99" s="11">
        <v>0.20693287037037036</v>
      </c>
      <c r="D99" s="12">
        <v>84</v>
      </c>
      <c r="E99" s="12">
        <v>0.69540000000000002</v>
      </c>
      <c r="F99" s="30">
        <v>0.55700000000000005</v>
      </c>
      <c r="G99" s="12">
        <v>0.57850000000000001</v>
      </c>
      <c r="H99" s="12">
        <v>1E-4</v>
      </c>
      <c r="I99" s="12">
        <v>0.25679999999999997</v>
      </c>
      <c r="J99" s="12">
        <v>2.2499999999999999E-2</v>
      </c>
      <c r="K99" s="12">
        <v>0</v>
      </c>
      <c r="L99" s="12">
        <v>0.1386</v>
      </c>
      <c r="M99" s="12">
        <v>3.5000000000000001E-3</v>
      </c>
      <c r="N99" s="12">
        <v>2</v>
      </c>
      <c r="O99" s="12">
        <v>3</v>
      </c>
      <c r="P99" s="12">
        <v>0</v>
      </c>
      <c r="Q99" s="12">
        <v>0</v>
      </c>
    </row>
    <row r="100" spans="1:17" x14ac:dyDescent="0.35">
      <c r="A100" s="13" t="s">
        <v>258</v>
      </c>
      <c r="B100" s="25">
        <f t="shared" ca="1" si="3"/>
        <v>0.3576388888888889</v>
      </c>
      <c r="C100" s="14">
        <v>0.20693287037037036</v>
      </c>
      <c r="D100" s="15">
        <v>31</v>
      </c>
      <c r="E100" s="15">
        <v>0.69540000000000002</v>
      </c>
      <c r="F100" s="31">
        <v>0.55700000000000005</v>
      </c>
      <c r="G100" s="15">
        <v>0.57850000000000001</v>
      </c>
      <c r="H100" s="15">
        <v>1E-4</v>
      </c>
      <c r="I100" s="15">
        <v>0.25679999999999997</v>
      </c>
      <c r="J100" s="15">
        <v>2.2499999999999999E-2</v>
      </c>
      <c r="K100" s="15">
        <v>0</v>
      </c>
      <c r="L100" s="15">
        <v>0.1386</v>
      </c>
      <c r="M100" s="15">
        <v>3.5000000000000001E-3</v>
      </c>
      <c r="N100" s="15">
        <v>2</v>
      </c>
      <c r="O100" s="15">
        <v>3</v>
      </c>
      <c r="P100" s="15">
        <v>0</v>
      </c>
      <c r="Q100" s="15">
        <v>0</v>
      </c>
    </row>
    <row r="101" spans="1:17" x14ac:dyDescent="0.35">
      <c r="A101" s="10" t="s">
        <v>259</v>
      </c>
      <c r="B101" s="24">
        <f t="shared" ca="1" si="3"/>
        <v>0.28194444444444444</v>
      </c>
      <c r="C101" s="11">
        <v>0.20693287037037036</v>
      </c>
      <c r="D101" s="12">
        <v>35</v>
      </c>
      <c r="E101" s="12">
        <v>0.69540000000000002</v>
      </c>
      <c r="F101" s="30">
        <v>0.55700000000000005</v>
      </c>
      <c r="G101" s="12">
        <v>0.57850000000000001</v>
      </c>
      <c r="H101" s="12">
        <v>1E-4</v>
      </c>
      <c r="I101" s="12">
        <v>0.25679999999999997</v>
      </c>
      <c r="J101" s="12">
        <v>2.2499999999999999E-2</v>
      </c>
      <c r="K101" s="12">
        <v>0</v>
      </c>
      <c r="L101" s="12">
        <v>0.1386</v>
      </c>
      <c r="M101" s="12">
        <v>3.5000000000000001E-3</v>
      </c>
      <c r="N101" s="12">
        <v>2</v>
      </c>
      <c r="O101" s="12">
        <v>3</v>
      </c>
      <c r="P101" s="12">
        <v>0</v>
      </c>
      <c r="Q101" s="12">
        <v>0</v>
      </c>
    </row>
    <row r="102" spans="1:17" x14ac:dyDescent="0.35">
      <c r="A102" s="13" t="s">
        <v>260</v>
      </c>
      <c r="B102" s="25">
        <f t="shared" ca="1" si="3"/>
        <v>0.34652777777777777</v>
      </c>
      <c r="C102" s="14">
        <v>0.20693287037037036</v>
      </c>
      <c r="D102" s="15">
        <v>77</v>
      </c>
      <c r="E102" s="15">
        <v>0.69540000000000002</v>
      </c>
      <c r="F102" s="31">
        <v>0.55700000000000005</v>
      </c>
      <c r="G102" s="15">
        <v>0.57850000000000001</v>
      </c>
      <c r="H102" s="15">
        <v>1E-4</v>
      </c>
      <c r="I102" s="15">
        <v>0.25679999999999997</v>
      </c>
      <c r="J102" s="15">
        <v>2.2499999999999999E-2</v>
      </c>
      <c r="K102" s="15">
        <v>0</v>
      </c>
      <c r="L102" s="15">
        <v>0.1386</v>
      </c>
      <c r="M102" s="15">
        <v>3.5000000000000001E-3</v>
      </c>
      <c r="N102" s="15">
        <v>2</v>
      </c>
      <c r="O102" s="15">
        <v>3</v>
      </c>
      <c r="P102" s="15">
        <v>0</v>
      </c>
      <c r="Q102" s="15">
        <v>0</v>
      </c>
    </row>
    <row r="103" spans="1:17" x14ac:dyDescent="0.35">
      <c r="A103" s="10" t="s">
        <v>261</v>
      </c>
      <c r="B103" s="24">
        <f t="shared" ca="1" si="3"/>
        <v>0.32291666666666669</v>
      </c>
      <c r="C103" s="11">
        <v>0.20693287037037036</v>
      </c>
      <c r="D103" s="12">
        <v>74</v>
      </c>
      <c r="E103" s="12">
        <v>0.69540000000000002</v>
      </c>
      <c r="F103" s="30">
        <v>0.55700000000000005</v>
      </c>
      <c r="G103" s="12">
        <v>0.57850000000000001</v>
      </c>
      <c r="H103" s="12">
        <v>1E-4</v>
      </c>
      <c r="I103" s="12">
        <v>0.25679999999999997</v>
      </c>
      <c r="J103" s="12">
        <v>2.2499999999999999E-2</v>
      </c>
      <c r="K103" s="12">
        <v>0</v>
      </c>
      <c r="L103" s="12">
        <v>0.1386</v>
      </c>
      <c r="M103" s="12">
        <v>3.5000000000000001E-3</v>
      </c>
      <c r="N103" s="12">
        <v>2</v>
      </c>
      <c r="O103" s="12">
        <v>3</v>
      </c>
      <c r="P103" s="12">
        <v>0</v>
      </c>
      <c r="Q103" s="12">
        <v>0</v>
      </c>
    </row>
    <row r="104" spans="1:17" x14ac:dyDescent="0.35">
      <c r="A104" s="13" t="s">
        <v>262</v>
      </c>
      <c r="B104" s="25">
        <f t="shared" ca="1" si="3"/>
        <v>0.26527777777777778</v>
      </c>
      <c r="C104" s="14">
        <v>0.20693287037037036</v>
      </c>
      <c r="D104" s="15">
        <v>96</v>
      </c>
      <c r="E104" s="15">
        <v>0.69540000000000002</v>
      </c>
      <c r="F104" s="31">
        <v>0.55700000000000005</v>
      </c>
      <c r="G104" s="15">
        <v>0.57850000000000001</v>
      </c>
      <c r="H104" s="15">
        <v>1E-4</v>
      </c>
      <c r="I104" s="15">
        <v>0.25679999999999997</v>
      </c>
      <c r="J104" s="15">
        <v>2.2499999999999999E-2</v>
      </c>
      <c r="K104" s="15">
        <v>0</v>
      </c>
      <c r="L104" s="15">
        <v>0.1386</v>
      </c>
      <c r="M104" s="15">
        <v>3.5000000000000001E-3</v>
      </c>
      <c r="N104" s="15">
        <v>2</v>
      </c>
      <c r="O104" s="15">
        <v>3</v>
      </c>
      <c r="P104" s="15">
        <v>0</v>
      </c>
      <c r="Q104" s="15">
        <v>0</v>
      </c>
    </row>
    <row r="105" spans="1:17" x14ac:dyDescent="0.35">
      <c r="A105" s="10" t="s">
        <v>263</v>
      </c>
      <c r="B105" s="24">
        <f t="shared" ca="1" si="3"/>
        <v>0.375</v>
      </c>
      <c r="C105" s="11">
        <v>0.20693287037037036</v>
      </c>
      <c r="D105" s="12">
        <v>72</v>
      </c>
      <c r="E105" s="12">
        <v>0.69540000000000002</v>
      </c>
      <c r="F105" s="30">
        <v>0.55700000000000005</v>
      </c>
      <c r="G105" s="12">
        <v>0.57850000000000001</v>
      </c>
      <c r="H105" s="12">
        <v>1E-4</v>
      </c>
      <c r="I105" s="12">
        <v>0.25679999999999997</v>
      </c>
      <c r="J105" s="12">
        <v>2.2499999999999999E-2</v>
      </c>
      <c r="K105" s="12">
        <v>0</v>
      </c>
      <c r="L105" s="12">
        <v>0.1386</v>
      </c>
      <c r="M105" s="12">
        <v>3.5000000000000001E-3</v>
      </c>
      <c r="N105" s="12">
        <v>2</v>
      </c>
      <c r="O105" s="12">
        <v>3</v>
      </c>
      <c r="P105" s="12">
        <v>0</v>
      </c>
      <c r="Q105" s="12">
        <v>0</v>
      </c>
    </row>
    <row r="106" spans="1:17" x14ac:dyDescent="0.35">
      <c r="A106" s="13" t="s">
        <v>264</v>
      </c>
      <c r="B106" s="25">
        <f t="shared" ca="1" si="3"/>
        <v>0.2951388888888889</v>
      </c>
      <c r="C106" s="14">
        <v>0.20693287037037036</v>
      </c>
      <c r="D106" s="15">
        <v>83</v>
      </c>
      <c r="E106" s="15">
        <v>0.69540000000000002</v>
      </c>
      <c r="F106" s="31">
        <v>0.55700000000000005</v>
      </c>
      <c r="G106" s="15">
        <v>0.57850000000000001</v>
      </c>
      <c r="H106" s="15">
        <v>1E-4</v>
      </c>
      <c r="I106" s="15">
        <v>0.25679999999999997</v>
      </c>
      <c r="J106" s="15">
        <v>2.2499999999999999E-2</v>
      </c>
      <c r="K106" s="15">
        <v>0</v>
      </c>
      <c r="L106" s="15">
        <v>0.1386</v>
      </c>
      <c r="M106" s="15">
        <v>3.5000000000000001E-3</v>
      </c>
      <c r="N106" s="15">
        <v>2</v>
      </c>
      <c r="O106" s="15">
        <v>3</v>
      </c>
      <c r="P106" s="15">
        <v>0</v>
      </c>
      <c r="Q106" s="15">
        <v>0</v>
      </c>
    </row>
    <row r="107" spans="1:17" x14ac:dyDescent="0.35">
      <c r="A107" s="10" t="s">
        <v>265</v>
      </c>
      <c r="B107" s="24">
        <f t="shared" ca="1" si="3"/>
        <v>0.29236111111111113</v>
      </c>
      <c r="C107" s="11">
        <v>0.20693287037037036</v>
      </c>
      <c r="D107" s="12">
        <v>57</v>
      </c>
      <c r="E107" s="12">
        <v>0.69540000000000002</v>
      </c>
      <c r="F107" s="30">
        <v>0.55700000000000005</v>
      </c>
      <c r="G107" s="12">
        <v>0.57850000000000001</v>
      </c>
      <c r="H107" s="12">
        <v>1E-4</v>
      </c>
      <c r="I107" s="12">
        <v>0.25679999999999997</v>
      </c>
      <c r="J107" s="12">
        <v>2.2499999999999999E-2</v>
      </c>
      <c r="K107" s="12">
        <v>0</v>
      </c>
      <c r="L107" s="12">
        <v>0.1386</v>
      </c>
      <c r="M107" s="12">
        <v>3.5000000000000001E-3</v>
      </c>
      <c r="N107" s="12">
        <v>2</v>
      </c>
      <c r="O107" s="12">
        <v>3</v>
      </c>
      <c r="P107" s="12">
        <v>0</v>
      </c>
      <c r="Q107" s="12">
        <v>0</v>
      </c>
    </row>
    <row r="108" spans="1:17" x14ac:dyDescent="0.35">
      <c r="A108" s="13" t="s">
        <v>266</v>
      </c>
      <c r="B108" s="25">
        <f t="shared" ca="1" si="3"/>
        <v>0.30902777777777779</v>
      </c>
      <c r="C108" s="14">
        <v>0.20693287037037036</v>
      </c>
      <c r="D108" s="15">
        <v>66</v>
      </c>
      <c r="E108" s="15">
        <v>0.69540000000000002</v>
      </c>
      <c r="F108" s="31">
        <v>0.55700000000000005</v>
      </c>
      <c r="G108" s="15">
        <v>0.57850000000000001</v>
      </c>
      <c r="H108" s="15">
        <v>1E-4</v>
      </c>
      <c r="I108" s="15">
        <v>0.25679999999999997</v>
      </c>
      <c r="J108" s="15">
        <v>2.2499999999999999E-2</v>
      </c>
      <c r="K108" s="15">
        <v>0</v>
      </c>
      <c r="L108" s="15">
        <v>0.1386</v>
      </c>
      <c r="M108" s="15">
        <v>3.5000000000000001E-3</v>
      </c>
      <c r="N108" s="15">
        <v>2</v>
      </c>
      <c r="O108" s="15">
        <v>3</v>
      </c>
      <c r="P108" s="15">
        <v>0</v>
      </c>
      <c r="Q108" s="15">
        <v>0</v>
      </c>
    </row>
    <row r="109" spans="1:17" x14ac:dyDescent="0.35">
      <c r="A109" s="10" t="s">
        <v>267</v>
      </c>
      <c r="B109" s="24">
        <f t="shared" ca="1" si="3"/>
        <v>0.30972222222222223</v>
      </c>
      <c r="C109" s="11">
        <v>0.20693287037037036</v>
      </c>
      <c r="D109" s="12">
        <v>42</v>
      </c>
      <c r="E109" s="12">
        <v>0.69540000000000002</v>
      </c>
      <c r="F109" s="30">
        <v>0.55700000000000005</v>
      </c>
      <c r="G109" s="12">
        <v>0.57850000000000001</v>
      </c>
      <c r="H109" s="12">
        <v>1E-4</v>
      </c>
      <c r="I109" s="12">
        <v>0.25679999999999997</v>
      </c>
      <c r="J109" s="12">
        <v>2.2499999999999999E-2</v>
      </c>
      <c r="K109" s="12">
        <v>0</v>
      </c>
      <c r="L109" s="12">
        <v>0.1386</v>
      </c>
      <c r="M109" s="12">
        <v>3.5000000000000001E-3</v>
      </c>
      <c r="N109" s="12">
        <v>2</v>
      </c>
      <c r="O109" s="12">
        <v>3</v>
      </c>
      <c r="P109" s="12">
        <v>0</v>
      </c>
      <c r="Q109" s="12">
        <v>0</v>
      </c>
    </row>
    <row r="110" spans="1:17" x14ac:dyDescent="0.35">
      <c r="A110" s="13" t="s">
        <v>268</v>
      </c>
      <c r="B110" s="25">
        <f t="shared" ca="1" si="3"/>
        <v>0.33611111111111108</v>
      </c>
      <c r="C110" s="14">
        <v>0.20693287037037036</v>
      </c>
      <c r="D110" s="15">
        <v>72</v>
      </c>
      <c r="E110" s="15">
        <v>0.69540000000000002</v>
      </c>
      <c r="F110" s="31">
        <v>0.55700000000000005</v>
      </c>
      <c r="G110" s="15">
        <v>0.57850000000000001</v>
      </c>
      <c r="H110" s="15">
        <v>1E-4</v>
      </c>
      <c r="I110" s="15">
        <v>0.25679999999999997</v>
      </c>
      <c r="J110" s="15">
        <v>2.2499999999999999E-2</v>
      </c>
      <c r="K110" s="15">
        <v>0</v>
      </c>
      <c r="L110" s="15">
        <v>0.1386</v>
      </c>
      <c r="M110" s="15">
        <v>3.5000000000000001E-3</v>
      </c>
      <c r="N110" s="15">
        <v>2</v>
      </c>
      <c r="O110" s="15">
        <v>3</v>
      </c>
      <c r="P110" s="15">
        <v>0</v>
      </c>
      <c r="Q110" s="15">
        <v>0</v>
      </c>
    </row>
    <row r="111" spans="1:17" x14ac:dyDescent="0.35">
      <c r="A111" s="10" t="s">
        <v>269</v>
      </c>
      <c r="B111" s="24">
        <f t="shared" ca="1" si="3"/>
        <v>0.27152777777777776</v>
      </c>
      <c r="C111" s="11">
        <v>0.20693287037037036</v>
      </c>
      <c r="D111" s="12">
        <v>73</v>
      </c>
      <c r="E111" s="12">
        <v>0.69540000000000002</v>
      </c>
      <c r="F111" s="30">
        <v>0.55700000000000005</v>
      </c>
      <c r="G111" s="12">
        <v>0.57850000000000001</v>
      </c>
      <c r="H111" s="12">
        <v>1E-4</v>
      </c>
      <c r="I111" s="12">
        <v>0.25679999999999997</v>
      </c>
      <c r="J111" s="12">
        <v>2.2499999999999999E-2</v>
      </c>
      <c r="K111" s="12">
        <v>0</v>
      </c>
      <c r="L111" s="12">
        <v>0.1386</v>
      </c>
      <c r="M111" s="12">
        <v>3.5000000000000001E-3</v>
      </c>
      <c r="N111" s="12">
        <v>2</v>
      </c>
      <c r="O111" s="12">
        <v>3</v>
      </c>
      <c r="P111" s="12">
        <v>0</v>
      </c>
      <c r="Q111" s="12">
        <v>0</v>
      </c>
    </row>
    <row r="112" spans="1:17" x14ac:dyDescent="0.35">
      <c r="A112" s="13" t="s">
        <v>270</v>
      </c>
      <c r="B112" s="25">
        <f t="shared" ca="1" si="3"/>
        <v>0.3</v>
      </c>
      <c r="C112" s="14">
        <v>0.20693287037037036</v>
      </c>
      <c r="D112" s="15">
        <v>29</v>
      </c>
      <c r="E112" s="15">
        <v>0.69540000000000002</v>
      </c>
      <c r="F112" s="31">
        <v>0.55700000000000005</v>
      </c>
      <c r="G112" s="15">
        <v>0.57850000000000001</v>
      </c>
      <c r="H112" s="15">
        <v>1E-4</v>
      </c>
      <c r="I112" s="15">
        <v>0.25679999999999997</v>
      </c>
      <c r="J112" s="15">
        <v>2.2499999999999999E-2</v>
      </c>
      <c r="K112" s="15">
        <v>0</v>
      </c>
      <c r="L112" s="15">
        <v>0.1386</v>
      </c>
      <c r="M112" s="15">
        <v>3.5000000000000001E-3</v>
      </c>
      <c r="N112" s="15">
        <v>2</v>
      </c>
      <c r="O112" s="15">
        <v>3</v>
      </c>
      <c r="P112" s="15">
        <v>0</v>
      </c>
      <c r="Q112" s="15">
        <v>0</v>
      </c>
    </row>
    <row r="113" spans="1:17" x14ac:dyDescent="0.35">
      <c r="A113" s="10" t="s">
        <v>271</v>
      </c>
      <c r="B113" s="24">
        <f t="shared" ca="1" si="3"/>
        <v>0.30555555555555552</v>
      </c>
      <c r="C113" s="11">
        <v>0.20693287037037036</v>
      </c>
      <c r="D113" s="12">
        <v>73</v>
      </c>
      <c r="E113" s="12">
        <v>0.69540000000000002</v>
      </c>
      <c r="F113" s="30">
        <v>0.55700000000000005</v>
      </c>
      <c r="G113" s="12">
        <v>0.57850000000000001</v>
      </c>
      <c r="H113" s="12">
        <v>1E-4</v>
      </c>
      <c r="I113" s="12">
        <v>0.25679999999999997</v>
      </c>
      <c r="J113" s="12">
        <v>2.2499999999999999E-2</v>
      </c>
      <c r="K113" s="12">
        <v>0</v>
      </c>
      <c r="L113" s="12">
        <v>0.1386</v>
      </c>
      <c r="M113" s="12">
        <v>3.5000000000000001E-3</v>
      </c>
      <c r="N113" s="12">
        <v>2</v>
      </c>
      <c r="O113" s="12">
        <v>3</v>
      </c>
      <c r="P113" s="12">
        <v>0</v>
      </c>
      <c r="Q113" s="12">
        <v>0</v>
      </c>
    </row>
    <row r="114" spans="1:17" x14ac:dyDescent="0.35">
      <c r="A114" s="13" t="s">
        <v>272</v>
      </c>
      <c r="B114" s="25">
        <f t="shared" ca="1" si="3"/>
        <v>0.25277777777777777</v>
      </c>
      <c r="C114" s="14">
        <v>0.20693287037037036</v>
      </c>
      <c r="D114" s="15">
        <v>56</v>
      </c>
      <c r="E114" s="15">
        <v>0.69540000000000002</v>
      </c>
      <c r="F114" s="31">
        <v>0.55700000000000005</v>
      </c>
      <c r="G114" s="15">
        <v>0.57850000000000001</v>
      </c>
      <c r="H114" s="15">
        <v>1E-4</v>
      </c>
      <c r="I114" s="15">
        <v>0.25679999999999997</v>
      </c>
      <c r="J114" s="15">
        <v>2.2499999999999999E-2</v>
      </c>
      <c r="K114" s="15">
        <v>0</v>
      </c>
      <c r="L114" s="15">
        <v>0.1386</v>
      </c>
      <c r="M114" s="15">
        <v>3.5000000000000001E-3</v>
      </c>
      <c r="N114" s="15">
        <v>2</v>
      </c>
      <c r="O114" s="15">
        <v>3</v>
      </c>
      <c r="P114" s="15">
        <v>0</v>
      </c>
      <c r="Q114" s="15">
        <v>0</v>
      </c>
    </row>
    <row r="115" spans="1:17" x14ac:dyDescent="0.35">
      <c r="A115" s="10" t="s">
        <v>273</v>
      </c>
      <c r="B115" s="24">
        <f t="shared" ca="1" si="3"/>
        <v>0.37083333333333335</v>
      </c>
      <c r="C115" s="11">
        <v>0.20693287037037036</v>
      </c>
      <c r="D115" s="12">
        <v>69</v>
      </c>
      <c r="E115" s="12">
        <v>0.69540000000000002</v>
      </c>
      <c r="F115" s="30">
        <v>0.55700000000000005</v>
      </c>
      <c r="G115" s="12">
        <v>0.57850000000000001</v>
      </c>
      <c r="H115" s="12">
        <v>1E-4</v>
      </c>
      <c r="I115" s="12">
        <v>0.25679999999999997</v>
      </c>
      <c r="J115" s="12">
        <v>2.2499999999999999E-2</v>
      </c>
      <c r="K115" s="12">
        <v>0</v>
      </c>
      <c r="L115" s="12">
        <v>0.1386</v>
      </c>
      <c r="M115" s="12">
        <v>3.5000000000000001E-3</v>
      </c>
      <c r="N115" s="12">
        <v>2</v>
      </c>
      <c r="O115" s="12">
        <v>3</v>
      </c>
      <c r="P115" s="12">
        <v>0</v>
      </c>
      <c r="Q115" s="12">
        <v>0</v>
      </c>
    </row>
    <row r="116" spans="1:17" x14ac:dyDescent="0.35">
      <c r="A116" s="13" t="s">
        <v>274</v>
      </c>
      <c r="B116" s="25">
        <f t="shared" ca="1" si="3"/>
        <v>0.28263888888888888</v>
      </c>
      <c r="C116" s="14">
        <v>0.20693287037037036</v>
      </c>
      <c r="D116" s="15">
        <v>77</v>
      </c>
      <c r="E116" s="15">
        <v>0.69540000000000002</v>
      </c>
      <c r="F116" s="31">
        <v>0.55700000000000005</v>
      </c>
      <c r="G116" s="15">
        <v>0.57850000000000001</v>
      </c>
      <c r="H116" s="15">
        <v>1E-4</v>
      </c>
      <c r="I116" s="15">
        <v>0.25679999999999997</v>
      </c>
      <c r="J116" s="15">
        <v>2.2499999999999999E-2</v>
      </c>
      <c r="K116" s="15">
        <v>0</v>
      </c>
      <c r="L116" s="15">
        <v>0.1386</v>
      </c>
      <c r="M116" s="15">
        <v>3.5000000000000001E-3</v>
      </c>
      <c r="N116" s="15">
        <v>2</v>
      </c>
      <c r="O116" s="15">
        <v>3</v>
      </c>
      <c r="P116" s="15">
        <v>0</v>
      </c>
      <c r="Q116" s="15">
        <v>0</v>
      </c>
    </row>
    <row r="117" spans="1:17" x14ac:dyDescent="0.35">
      <c r="A117" s="10" t="s">
        <v>275</v>
      </c>
      <c r="B117" s="24">
        <f t="shared" ca="1" si="3"/>
        <v>0.3430555555555555</v>
      </c>
      <c r="C117" s="11">
        <v>0.20693287037037036</v>
      </c>
      <c r="D117" s="12">
        <v>43</v>
      </c>
      <c r="E117" s="12">
        <v>0.69540000000000002</v>
      </c>
      <c r="F117" s="30">
        <v>0.55700000000000005</v>
      </c>
      <c r="G117" s="12">
        <v>0.57850000000000001</v>
      </c>
      <c r="H117" s="12">
        <v>1E-4</v>
      </c>
      <c r="I117" s="12">
        <v>0.25679999999999997</v>
      </c>
      <c r="J117" s="12">
        <v>2.2499999999999999E-2</v>
      </c>
      <c r="K117" s="12">
        <v>0</v>
      </c>
      <c r="L117" s="12">
        <v>0.1386</v>
      </c>
      <c r="M117" s="12">
        <v>3.5000000000000001E-3</v>
      </c>
      <c r="N117" s="12">
        <v>2</v>
      </c>
      <c r="O117" s="12">
        <v>3</v>
      </c>
      <c r="P117" s="12">
        <v>0</v>
      </c>
      <c r="Q117" s="12">
        <v>0</v>
      </c>
    </row>
    <row r="118" spans="1:17" x14ac:dyDescent="0.35">
      <c r="A118" s="13" t="s">
        <v>276</v>
      </c>
      <c r="B118" s="25">
        <f t="shared" ca="1" si="3"/>
        <v>0.37986111111111115</v>
      </c>
      <c r="C118" s="14">
        <v>0.20693287037037036</v>
      </c>
      <c r="D118" s="15">
        <v>30</v>
      </c>
      <c r="E118" s="15">
        <v>0.69540000000000002</v>
      </c>
      <c r="F118" s="31">
        <v>0.55700000000000005</v>
      </c>
      <c r="G118" s="15">
        <v>0.57850000000000001</v>
      </c>
      <c r="H118" s="15">
        <v>1E-4</v>
      </c>
      <c r="I118" s="15">
        <v>0.25679999999999997</v>
      </c>
      <c r="J118" s="15">
        <v>2.2499999999999999E-2</v>
      </c>
      <c r="K118" s="15">
        <v>0</v>
      </c>
      <c r="L118" s="15">
        <v>0.1386</v>
      </c>
      <c r="M118" s="15">
        <v>3.5000000000000001E-3</v>
      </c>
      <c r="N118" s="15">
        <v>2</v>
      </c>
      <c r="O118" s="15">
        <v>3</v>
      </c>
      <c r="P118" s="15">
        <v>0</v>
      </c>
      <c r="Q118" s="15">
        <v>0</v>
      </c>
    </row>
    <row r="119" spans="1:17" x14ac:dyDescent="0.35">
      <c r="A119" s="10" t="s">
        <v>277</v>
      </c>
      <c r="B119" s="24">
        <f t="shared" ca="1" si="3"/>
        <v>0.29722222222222222</v>
      </c>
      <c r="C119" s="11">
        <v>0.20693287037037036</v>
      </c>
      <c r="D119" s="12">
        <v>49</v>
      </c>
      <c r="E119" s="12">
        <v>0.69540000000000002</v>
      </c>
      <c r="F119" s="30">
        <v>0.55700000000000005</v>
      </c>
      <c r="G119" s="12">
        <v>0.57850000000000001</v>
      </c>
      <c r="H119" s="12">
        <v>1E-4</v>
      </c>
      <c r="I119" s="12">
        <v>0.25679999999999997</v>
      </c>
      <c r="J119" s="12">
        <v>2.2499999999999999E-2</v>
      </c>
      <c r="K119" s="12">
        <v>0</v>
      </c>
      <c r="L119" s="12">
        <v>0.1386</v>
      </c>
      <c r="M119" s="12">
        <v>3.5000000000000001E-3</v>
      </c>
      <c r="N119" s="12">
        <v>2</v>
      </c>
      <c r="O119" s="12">
        <v>3</v>
      </c>
      <c r="P119" s="12">
        <v>0</v>
      </c>
      <c r="Q119" s="12">
        <v>0</v>
      </c>
    </row>
    <row r="120" spans="1:17" x14ac:dyDescent="0.35">
      <c r="A120" s="13" t="s">
        <v>278</v>
      </c>
      <c r="B120" s="25">
        <f t="shared" ca="1" si="3"/>
        <v>0.29305555555555557</v>
      </c>
      <c r="C120" s="14">
        <v>0.20693287037037036</v>
      </c>
      <c r="D120" s="15">
        <v>57</v>
      </c>
      <c r="E120" s="15">
        <v>0.69540000000000002</v>
      </c>
      <c r="F120" s="31">
        <v>0.55700000000000005</v>
      </c>
      <c r="G120" s="15">
        <v>0.57850000000000001</v>
      </c>
      <c r="H120" s="15">
        <v>1E-4</v>
      </c>
      <c r="I120" s="15">
        <v>0.25679999999999997</v>
      </c>
      <c r="J120" s="15">
        <v>2.2499999999999999E-2</v>
      </c>
      <c r="K120" s="15">
        <v>0</v>
      </c>
      <c r="L120" s="15">
        <v>0.1386</v>
      </c>
      <c r="M120" s="15">
        <v>3.5000000000000001E-3</v>
      </c>
      <c r="N120" s="15">
        <v>2</v>
      </c>
      <c r="O120" s="15">
        <v>3</v>
      </c>
      <c r="P120" s="15">
        <v>0</v>
      </c>
      <c r="Q120" s="15">
        <v>0</v>
      </c>
    </row>
    <row r="121" spans="1:17" x14ac:dyDescent="0.35">
      <c r="A121" s="10" t="s">
        <v>279</v>
      </c>
      <c r="B121" s="24">
        <f t="shared" ca="1" si="3"/>
        <v>0.4055555555555555</v>
      </c>
      <c r="C121" s="11">
        <v>0.20693287037037036</v>
      </c>
      <c r="D121" s="12">
        <v>58</v>
      </c>
      <c r="E121" s="12">
        <v>0.69540000000000002</v>
      </c>
      <c r="F121" s="30">
        <v>0.55700000000000005</v>
      </c>
      <c r="G121" s="12">
        <v>0.57850000000000001</v>
      </c>
      <c r="H121" s="12">
        <v>1E-4</v>
      </c>
      <c r="I121" s="12">
        <v>0.25679999999999997</v>
      </c>
      <c r="J121" s="12">
        <v>2.2499999999999999E-2</v>
      </c>
      <c r="K121" s="12">
        <v>0</v>
      </c>
      <c r="L121" s="12">
        <v>0.1386</v>
      </c>
      <c r="M121" s="12">
        <v>3.5000000000000001E-3</v>
      </c>
      <c r="N121" s="12">
        <v>2</v>
      </c>
      <c r="O121" s="12">
        <v>3</v>
      </c>
      <c r="P121" s="12">
        <v>0</v>
      </c>
      <c r="Q121" s="12">
        <v>0</v>
      </c>
    </row>
    <row r="122" spans="1:17" x14ac:dyDescent="0.35">
      <c r="A122" s="13" t="s">
        <v>280</v>
      </c>
      <c r="B122" s="25">
        <f t="shared" ca="1" si="3"/>
        <v>0.39097222222222222</v>
      </c>
      <c r="C122" s="14">
        <v>0.20693287037037036</v>
      </c>
      <c r="D122" s="15">
        <v>25</v>
      </c>
      <c r="E122" s="15">
        <v>0.69540000000000002</v>
      </c>
      <c r="F122" s="31">
        <v>0.55700000000000005</v>
      </c>
      <c r="G122" s="15">
        <v>0.57850000000000001</v>
      </c>
      <c r="H122" s="15">
        <v>1E-4</v>
      </c>
      <c r="I122" s="15">
        <v>0.25679999999999997</v>
      </c>
      <c r="J122" s="15">
        <v>2.2499999999999999E-2</v>
      </c>
      <c r="K122" s="15">
        <v>0</v>
      </c>
      <c r="L122" s="15">
        <v>0.1386</v>
      </c>
      <c r="M122" s="15">
        <v>3.5000000000000001E-3</v>
      </c>
      <c r="N122" s="15">
        <v>2</v>
      </c>
      <c r="O122" s="15">
        <v>3</v>
      </c>
      <c r="P122" s="15">
        <v>0</v>
      </c>
      <c r="Q122" s="15">
        <v>0</v>
      </c>
    </row>
    <row r="123" spans="1:17" x14ac:dyDescent="0.35">
      <c r="A123" s="10" t="s">
        <v>281</v>
      </c>
      <c r="B123" s="24">
        <f t="shared" ca="1" si="3"/>
        <v>0.39583333333333331</v>
      </c>
      <c r="C123" s="11">
        <v>0.20693287037037036</v>
      </c>
      <c r="D123" s="12">
        <v>47</v>
      </c>
      <c r="E123" s="12">
        <v>0.69540000000000002</v>
      </c>
      <c r="F123" s="30">
        <v>0.55700000000000005</v>
      </c>
      <c r="G123" s="12">
        <v>0.57850000000000001</v>
      </c>
      <c r="H123" s="12">
        <v>1E-4</v>
      </c>
      <c r="I123" s="12">
        <v>0.25679999999999997</v>
      </c>
      <c r="J123" s="12">
        <v>2.2499999999999999E-2</v>
      </c>
      <c r="K123" s="12">
        <v>0</v>
      </c>
      <c r="L123" s="12">
        <v>0.1386</v>
      </c>
      <c r="M123" s="12">
        <v>3.5000000000000001E-3</v>
      </c>
      <c r="N123" s="12">
        <v>2</v>
      </c>
      <c r="O123" s="12">
        <v>3</v>
      </c>
      <c r="P123" s="12">
        <v>0</v>
      </c>
      <c r="Q123" s="12">
        <v>0</v>
      </c>
    </row>
    <row r="124" spans="1:17" x14ac:dyDescent="0.35">
      <c r="A124" s="13" t="s">
        <v>282</v>
      </c>
      <c r="B124" s="25">
        <f t="shared" ca="1" si="3"/>
        <v>0.30555555555555552</v>
      </c>
      <c r="C124" s="14">
        <v>0.20693287037037036</v>
      </c>
      <c r="D124" s="15">
        <v>57</v>
      </c>
      <c r="E124" s="15">
        <v>0.69540000000000002</v>
      </c>
      <c r="F124" s="31">
        <v>0.55700000000000005</v>
      </c>
      <c r="G124" s="15">
        <v>0.57850000000000001</v>
      </c>
      <c r="H124" s="15">
        <v>1E-4</v>
      </c>
      <c r="I124" s="15">
        <v>0.25679999999999997</v>
      </c>
      <c r="J124" s="15">
        <v>2.2499999999999999E-2</v>
      </c>
      <c r="K124" s="15">
        <v>0</v>
      </c>
      <c r="L124" s="15">
        <v>0.1386</v>
      </c>
      <c r="M124" s="15">
        <v>3.5000000000000001E-3</v>
      </c>
      <c r="N124" s="15">
        <v>2</v>
      </c>
      <c r="O124" s="15">
        <v>3</v>
      </c>
      <c r="P124" s="15">
        <v>0</v>
      </c>
      <c r="Q124" s="15">
        <v>0</v>
      </c>
    </row>
    <row r="125" spans="1:17" x14ac:dyDescent="0.35">
      <c r="A125" s="10" t="s">
        <v>283</v>
      </c>
      <c r="B125" s="24">
        <f t="shared" ca="1" si="3"/>
        <v>0.32430555555555557</v>
      </c>
      <c r="C125" s="11">
        <v>0.20693287037037036</v>
      </c>
      <c r="D125" s="12">
        <v>20</v>
      </c>
      <c r="E125" s="12">
        <v>0.69540000000000002</v>
      </c>
      <c r="F125" s="30">
        <v>0.55700000000000005</v>
      </c>
      <c r="G125" s="12">
        <v>0.57850000000000001</v>
      </c>
      <c r="H125" s="12">
        <v>1E-4</v>
      </c>
      <c r="I125" s="12">
        <v>0.25679999999999997</v>
      </c>
      <c r="J125" s="12">
        <v>2.2499999999999999E-2</v>
      </c>
      <c r="K125" s="12">
        <v>0</v>
      </c>
      <c r="L125" s="12">
        <v>0.1386</v>
      </c>
      <c r="M125" s="12">
        <v>3.5000000000000001E-3</v>
      </c>
      <c r="N125" s="12">
        <v>2</v>
      </c>
      <c r="O125" s="12">
        <v>3</v>
      </c>
      <c r="P125" s="12">
        <v>0</v>
      </c>
      <c r="Q125" s="12">
        <v>0</v>
      </c>
    </row>
    <row r="126" spans="1:17" x14ac:dyDescent="0.35">
      <c r="A126" s="13" t="s">
        <v>284</v>
      </c>
      <c r="B126" s="25">
        <f t="shared" ca="1" si="3"/>
        <v>0.25694444444444448</v>
      </c>
      <c r="C126" s="14">
        <v>0.20693287037037036</v>
      </c>
      <c r="D126" s="15">
        <v>92</v>
      </c>
      <c r="E126" s="15">
        <v>0.69540000000000002</v>
      </c>
      <c r="F126" s="31">
        <v>0.55700000000000005</v>
      </c>
      <c r="G126" s="15">
        <v>0.57850000000000001</v>
      </c>
      <c r="H126" s="15">
        <v>1E-4</v>
      </c>
      <c r="I126" s="15">
        <v>0.25679999999999997</v>
      </c>
      <c r="J126" s="15">
        <v>2.2499999999999999E-2</v>
      </c>
      <c r="K126" s="15">
        <v>0</v>
      </c>
      <c r="L126" s="15">
        <v>0.1386</v>
      </c>
      <c r="M126" s="15">
        <v>3.5000000000000001E-3</v>
      </c>
      <c r="N126" s="15">
        <v>2</v>
      </c>
      <c r="O126" s="15">
        <v>3</v>
      </c>
      <c r="P126" s="15">
        <v>0</v>
      </c>
      <c r="Q126" s="15">
        <v>0</v>
      </c>
    </row>
    <row r="127" spans="1:17" x14ac:dyDescent="0.35">
      <c r="A127" s="10" t="s">
        <v>285</v>
      </c>
      <c r="B127" s="24">
        <f t="shared" ca="1" si="3"/>
        <v>0.33680555555555558</v>
      </c>
      <c r="C127" s="11">
        <v>0.20693287037037036</v>
      </c>
      <c r="D127" s="12">
        <v>39</v>
      </c>
      <c r="E127" s="12">
        <v>0.69540000000000002</v>
      </c>
      <c r="F127" s="30">
        <v>0.55700000000000005</v>
      </c>
      <c r="G127" s="12">
        <v>0.57850000000000001</v>
      </c>
      <c r="H127" s="12">
        <v>1E-4</v>
      </c>
      <c r="I127" s="12">
        <v>0.25679999999999997</v>
      </c>
      <c r="J127" s="12">
        <v>2.2499999999999999E-2</v>
      </c>
      <c r="K127" s="12">
        <v>0</v>
      </c>
      <c r="L127" s="12">
        <v>0.1386</v>
      </c>
      <c r="M127" s="12">
        <v>3.5000000000000001E-3</v>
      </c>
      <c r="N127" s="12">
        <v>2</v>
      </c>
      <c r="O127" s="12">
        <v>3</v>
      </c>
      <c r="P127" s="12">
        <v>0</v>
      </c>
      <c r="Q127" s="12">
        <v>0</v>
      </c>
    </row>
    <row r="128" spans="1:17" x14ac:dyDescent="0.35">
      <c r="A128" s="13" t="s">
        <v>286</v>
      </c>
      <c r="B128" s="25">
        <f t="shared" ca="1" si="3"/>
        <v>0.37986111111111115</v>
      </c>
      <c r="C128" s="14">
        <v>0.20693287037037036</v>
      </c>
      <c r="D128" s="15">
        <v>28</v>
      </c>
      <c r="E128" s="15">
        <v>0.69540000000000002</v>
      </c>
      <c r="F128" s="31">
        <v>0.55700000000000005</v>
      </c>
      <c r="G128" s="15">
        <v>0.57850000000000001</v>
      </c>
      <c r="H128" s="15">
        <v>1E-4</v>
      </c>
      <c r="I128" s="15">
        <v>0.25679999999999997</v>
      </c>
      <c r="J128" s="15">
        <v>2.2499999999999999E-2</v>
      </c>
      <c r="K128" s="15">
        <v>0</v>
      </c>
      <c r="L128" s="15">
        <v>0.1386</v>
      </c>
      <c r="M128" s="15">
        <v>3.5000000000000001E-3</v>
      </c>
      <c r="N128" s="15">
        <v>2</v>
      </c>
      <c r="O128" s="15">
        <v>3</v>
      </c>
      <c r="P128" s="15">
        <v>0</v>
      </c>
      <c r="Q128" s="15">
        <v>0</v>
      </c>
    </row>
    <row r="129" spans="1:17" x14ac:dyDescent="0.35">
      <c r="A129" s="10" t="s">
        <v>287</v>
      </c>
      <c r="B129" s="24">
        <f t="shared" ca="1" si="3"/>
        <v>0.25972222222222224</v>
      </c>
      <c r="C129" s="11">
        <v>0.20693287037037036</v>
      </c>
      <c r="D129" s="12">
        <v>90</v>
      </c>
      <c r="E129" s="12">
        <v>0.69540000000000002</v>
      </c>
      <c r="F129" s="30">
        <v>0.55700000000000005</v>
      </c>
      <c r="G129" s="12">
        <v>0.57850000000000001</v>
      </c>
      <c r="H129" s="12">
        <v>1E-4</v>
      </c>
      <c r="I129" s="12">
        <v>0.25679999999999997</v>
      </c>
      <c r="J129" s="12">
        <v>2.2499999999999999E-2</v>
      </c>
      <c r="K129" s="12">
        <v>0</v>
      </c>
      <c r="L129" s="12">
        <v>0.1386</v>
      </c>
      <c r="M129" s="12">
        <v>3.5000000000000001E-3</v>
      </c>
      <c r="N129" s="12">
        <v>2</v>
      </c>
      <c r="O129" s="12">
        <v>3</v>
      </c>
      <c r="P129" s="12">
        <v>0</v>
      </c>
      <c r="Q129" s="12">
        <v>0</v>
      </c>
    </row>
    <row r="130" spans="1:17" x14ac:dyDescent="0.35">
      <c r="A130" s="13" t="s">
        <v>288</v>
      </c>
      <c r="B130" s="25">
        <f t="shared" ref="B130:B151" ca="1" si="4">TIME(RANDBETWEEN(6,9), RANDBETWEEN(0,59), 0)</f>
        <v>0.38958333333333334</v>
      </c>
      <c r="C130" s="14">
        <v>0.20693287037037036</v>
      </c>
      <c r="D130" s="15">
        <v>90</v>
      </c>
      <c r="E130" s="15">
        <v>0.69540000000000002</v>
      </c>
      <c r="F130" s="31">
        <v>0.55700000000000005</v>
      </c>
      <c r="G130" s="15">
        <v>0.57850000000000001</v>
      </c>
      <c r="H130" s="15">
        <v>1E-4</v>
      </c>
      <c r="I130" s="15">
        <v>0.25679999999999997</v>
      </c>
      <c r="J130" s="15">
        <v>2.2499999999999999E-2</v>
      </c>
      <c r="K130" s="15">
        <v>0</v>
      </c>
      <c r="L130" s="15">
        <v>0.1386</v>
      </c>
      <c r="M130" s="15">
        <v>3.5000000000000001E-3</v>
      </c>
      <c r="N130" s="15">
        <v>2</v>
      </c>
      <c r="O130" s="15">
        <v>3</v>
      </c>
      <c r="P130" s="15">
        <v>0</v>
      </c>
      <c r="Q130" s="15">
        <v>0</v>
      </c>
    </row>
    <row r="131" spans="1:17" x14ac:dyDescent="0.35">
      <c r="A131" s="10" t="s">
        <v>289</v>
      </c>
      <c r="B131" s="24">
        <f t="shared" ca="1" si="4"/>
        <v>0.31041666666666667</v>
      </c>
      <c r="C131" s="11">
        <v>0.20693287037037036</v>
      </c>
      <c r="D131" s="12">
        <v>56</v>
      </c>
      <c r="E131" s="12">
        <v>0.69540000000000002</v>
      </c>
      <c r="F131" s="30">
        <v>0.55700000000000005</v>
      </c>
      <c r="G131" s="12">
        <v>0.57850000000000001</v>
      </c>
      <c r="H131" s="12">
        <v>1E-4</v>
      </c>
      <c r="I131" s="12">
        <v>0.25679999999999997</v>
      </c>
      <c r="J131" s="12">
        <v>2.2499999999999999E-2</v>
      </c>
      <c r="K131" s="12">
        <v>0</v>
      </c>
      <c r="L131" s="12">
        <v>0.1386</v>
      </c>
      <c r="M131" s="12">
        <v>3.5000000000000001E-3</v>
      </c>
      <c r="N131" s="12">
        <v>2</v>
      </c>
      <c r="O131" s="12">
        <v>3</v>
      </c>
      <c r="P131" s="12">
        <v>0</v>
      </c>
      <c r="Q131" s="12">
        <v>0</v>
      </c>
    </row>
    <row r="132" spans="1:17" x14ac:dyDescent="0.35">
      <c r="A132" s="13" t="s">
        <v>290</v>
      </c>
      <c r="B132" s="25">
        <f t="shared" ca="1" si="4"/>
        <v>0.36319444444444443</v>
      </c>
      <c r="C132" s="14">
        <v>0.20693287037037036</v>
      </c>
      <c r="D132" s="15">
        <v>26</v>
      </c>
      <c r="E132" s="15">
        <v>0.69540000000000002</v>
      </c>
      <c r="F132" s="31">
        <v>0.55700000000000005</v>
      </c>
      <c r="G132" s="15">
        <v>0.57850000000000001</v>
      </c>
      <c r="H132" s="15">
        <v>1E-4</v>
      </c>
      <c r="I132" s="15">
        <v>0.25679999999999997</v>
      </c>
      <c r="J132" s="15">
        <v>2.2499999999999999E-2</v>
      </c>
      <c r="K132" s="15">
        <v>0</v>
      </c>
      <c r="L132" s="15">
        <v>0.1386</v>
      </c>
      <c r="M132" s="15">
        <v>3.5000000000000001E-3</v>
      </c>
      <c r="N132" s="15">
        <v>2</v>
      </c>
      <c r="O132" s="15">
        <v>3</v>
      </c>
      <c r="P132" s="15">
        <v>0</v>
      </c>
      <c r="Q132" s="15">
        <v>0</v>
      </c>
    </row>
    <row r="133" spans="1:17" x14ac:dyDescent="0.35">
      <c r="A133" s="10" t="s">
        <v>291</v>
      </c>
      <c r="B133" s="24">
        <f t="shared" ca="1" si="4"/>
        <v>0.38958333333333334</v>
      </c>
      <c r="C133" s="11">
        <v>0.20693287037037036</v>
      </c>
      <c r="D133" s="12">
        <v>98</v>
      </c>
      <c r="E133" s="12">
        <v>0.69540000000000002</v>
      </c>
      <c r="F133" s="30">
        <v>0.55700000000000005</v>
      </c>
      <c r="G133" s="12">
        <v>0.57850000000000001</v>
      </c>
      <c r="H133" s="12">
        <v>1E-4</v>
      </c>
      <c r="I133" s="12">
        <v>0.25679999999999997</v>
      </c>
      <c r="J133" s="12">
        <v>2.2499999999999999E-2</v>
      </c>
      <c r="K133" s="12">
        <v>0</v>
      </c>
      <c r="L133" s="12">
        <v>0.1386</v>
      </c>
      <c r="M133" s="12">
        <v>3.5000000000000001E-3</v>
      </c>
      <c r="N133" s="12">
        <v>2</v>
      </c>
      <c r="O133" s="12">
        <v>3</v>
      </c>
      <c r="P133" s="12">
        <v>0</v>
      </c>
      <c r="Q133" s="12">
        <v>0</v>
      </c>
    </row>
    <row r="134" spans="1:17" x14ac:dyDescent="0.35">
      <c r="A134" s="13" t="s">
        <v>292</v>
      </c>
      <c r="B134" s="25">
        <f t="shared" ca="1" si="4"/>
        <v>0.39374999999999999</v>
      </c>
      <c r="C134" s="14">
        <v>0.20693287037037036</v>
      </c>
      <c r="D134" s="15">
        <v>35</v>
      </c>
      <c r="E134" s="15">
        <v>0.69540000000000002</v>
      </c>
      <c r="F134" s="31">
        <v>0.55700000000000005</v>
      </c>
      <c r="G134" s="15">
        <v>0.57850000000000001</v>
      </c>
      <c r="H134" s="15">
        <v>1E-4</v>
      </c>
      <c r="I134" s="15">
        <v>0.25679999999999997</v>
      </c>
      <c r="J134" s="15">
        <v>2.2499999999999999E-2</v>
      </c>
      <c r="K134" s="15">
        <v>0</v>
      </c>
      <c r="L134" s="15">
        <v>0.1386</v>
      </c>
      <c r="M134" s="15">
        <v>3.5000000000000001E-3</v>
      </c>
      <c r="N134" s="15">
        <v>2</v>
      </c>
      <c r="O134" s="15">
        <v>3</v>
      </c>
      <c r="P134" s="15">
        <v>0</v>
      </c>
      <c r="Q134" s="15">
        <v>0</v>
      </c>
    </row>
    <row r="135" spans="1:17" x14ac:dyDescent="0.35">
      <c r="A135" s="10" t="s">
        <v>293</v>
      </c>
      <c r="B135" s="24">
        <f t="shared" ca="1" si="4"/>
        <v>0.28819444444444448</v>
      </c>
      <c r="C135" s="11">
        <v>0.20693287037037036</v>
      </c>
      <c r="D135" s="12">
        <v>55</v>
      </c>
      <c r="E135" s="12">
        <v>0.69540000000000002</v>
      </c>
      <c r="F135" s="30">
        <v>0.55700000000000005</v>
      </c>
      <c r="G135" s="12">
        <v>0.57850000000000001</v>
      </c>
      <c r="H135" s="12">
        <v>1E-4</v>
      </c>
      <c r="I135" s="12">
        <v>0.25679999999999997</v>
      </c>
      <c r="J135" s="12">
        <v>2.2499999999999999E-2</v>
      </c>
      <c r="K135" s="12">
        <v>0</v>
      </c>
      <c r="L135" s="12">
        <v>0.1386</v>
      </c>
      <c r="M135" s="12">
        <v>3.5000000000000001E-3</v>
      </c>
      <c r="N135" s="12">
        <v>2</v>
      </c>
      <c r="O135" s="12">
        <v>3</v>
      </c>
      <c r="P135" s="12">
        <v>0</v>
      </c>
      <c r="Q135" s="12">
        <v>0</v>
      </c>
    </row>
    <row r="136" spans="1:17" x14ac:dyDescent="0.35">
      <c r="A136" s="13" t="s">
        <v>294</v>
      </c>
      <c r="B136" s="25">
        <f t="shared" ca="1" si="4"/>
        <v>0.28263888888888888</v>
      </c>
      <c r="C136" s="14">
        <v>0.20693287037037036</v>
      </c>
      <c r="D136" s="15">
        <v>65</v>
      </c>
      <c r="E136" s="15">
        <v>0.69540000000000002</v>
      </c>
      <c r="F136" s="31">
        <v>0.55700000000000005</v>
      </c>
      <c r="G136" s="15">
        <v>0.57850000000000001</v>
      </c>
      <c r="H136" s="15">
        <v>1E-4</v>
      </c>
      <c r="I136" s="15">
        <v>0.25679999999999997</v>
      </c>
      <c r="J136" s="15">
        <v>2.2499999999999999E-2</v>
      </c>
      <c r="K136" s="15">
        <v>0</v>
      </c>
      <c r="L136" s="15">
        <v>0.1386</v>
      </c>
      <c r="M136" s="15">
        <v>3.5000000000000001E-3</v>
      </c>
      <c r="N136" s="15">
        <v>2</v>
      </c>
      <c r="O136" s="15">
        <v>3</v>
      </c>
      <c r="P136" s="15">
        <v>0</v>
      </c>
      <c r="Q136" s="15">
        <v>0</v>
      </c>
    </row>
    <row r="137" spans="1:17" x14ac:dyDescent="0.35">
      <c r="A137" s="10" t="s">
        <v>295</v>
      </c>
      <c r="B137" s="24">
        <f t="shared" ca="1" si="4"/>
        <v>0.33680555555555558</v>
      </c>
      <c r="C137" s="11">
        <v>0.20693287037037036</v>
      </c>
      <c r="D137" s="12">
        <v>70</v>
      </c>
      <c r="E137" s="12">
        <v>0.69540000000000002</v>
      </c>
      <c r="F137" s="30">
        <v>0.55700000000000005</v>
      </c>
      <c r="G137" s="12">
        <v>0.57850000000000001</v>
      </c>
      <c r="H137" s="12">
        <v>1E-4</v>
      </c>
      <c r="I137" s="12">
        <v>0.25679999999999997</v>
      </c>
      <c r="J137" s="12">
        <v>2.2499999999999999E-2</v>
      </c>
      <c r="K137" s="12">
        <v>0</v>
      </c>
      <c r="L137" s="12">
        <v>0.1386</v>
      </c>
      <c r="M137" s="12">
        <v>3.5000000000000001E-3</v>
      </c>
      <c r="N137" s="12">
        <v>2</v>
      </c>
      <c r="O137" s="12">
        <v>3</v>
      </c>
      <c r="P137" s="12">
        <v>0</v>
      </c>
      <c r="Q137" s="12">
        <v>0</v>
      </c>
    </row>
    <row r="138" spans="1:17" x14ac:dyDescent="0.35">
      <c r="A138" s="13" t="s">
        <v>296</v>
      </c>
      <c r="B138" s="25">
        <f t="shared" ca="1" si="4"/>
        <v>0.31805555555555554</v>
      </c>
      <c r="C138" s="14">
        <v>0.20693287037037036</v>
      </c>
      <c r="D138" s="15">
        <v>98</v>
      </c>
      <c r="E138" s="15">
        <v>0.69540000000000002</v>
      </c>
      <c r="F138" s="31">
        <v>0.55700000000000005</v>
      </c>
      <c r="G138" s="15">
        <v>0.57850000000000001</v>
      </c>
      <c r="H138" s="15">
        <v>1E-4</v>
      </c>
      <c r="I138" s="15">
        <v>0.25679999999999997</v>
      </c>
      <c r="J138" s="15">
        <v>2.2499999999999999E-2</v>
      </c>
      <c r="K138" s="15">
        <v>0</v>
      </c>
      <c r="L138" s="15">
        <v>0.1386</v>
      </c>
      <c r="M138" s="15">
        <v>3.5000000000000001E-3</v>
      </c>
      <c r="N138" s="15">
        <v>2</v>
      </c>
      <c r="O138" s="15">
        <v>3</v>
      </c>
      <c r="P138" s="15">
        <v>0</v>
      </c>
      <c r="Q138" s="15">
        <v>0</v>
      </c>
    </row>
    <row r="139" spans="1:17" x14ac:dyDescent="0.35">
      <c r="A139" s="10" t="s">
        <v>297</v>
      </c>
      <c r="B139" s="24">
        <f t="shared" ca="1" si="4"/>
        <v>0.28194444444444444</v>
      </c>
      <c r="C139" s="11">
        <v>0.20693287037037036</v>
      </c>
      <c r="D139" s="12">
        <v>34</v>
      </c>
      <c r="E139" s="12">
        <v>0.69540000000000002</v>
      </c>
      <c r="F139" s="30">
        <v>0.55700000000000005</v>
      </c>
      <c r="G139" s="12">
        <v>0.57850000000000001</v>
      </c>
      <c r="H139" s="12">
        <v>1E-4</v>
      </c>
      <c r="I139" s="12">
        <v>0.25679999999999997</v>
      </c>
      <c r="J139" s="12">
        <v>2.2499999999999999E-2</v>
      </c>
      <c r="K139" s="12">
        <v>0</v>
      </c>
      <c r="L139" s="12">
        <v>0.1386</v>
      </c>
      <c r="M139" s="12">
        <v>3.5000000000000001E-3</v>
      </c>
      <c r="N139" s="12">
        <v>2</v>
      </c>
      <c r="O139" s="12">
        <v>3</v>
      </c>
      <c r="P139" s="12">
        <v>0</v>
      </c>
      <c r="Q139" s="12">
        <v>0</v>
      </c>
    </row>
    <row r="140" spans="1:17" x14ac:dyDescent="0.35">
      <c r="A140" s="13" t="s">
        <v>298</v>
      </c>
      <c r="B140" s="25">
        <f t="shared" ca="1" si="4"/>
        <v>0.34513888888888888</v>
      </c>
      <c r="C140" s="14">
        <v>0.20693287037037036</v>
      </c>
      <c r="D140" s="15">
        <v>73</v>
      </c>
      <c r="E140" s="15">
        <v>0.69540000000000002</v>
      </c>
      <c r="F140" s="31">
        <v>0.55700000000000005</v>
      </c>
      <c r="G140" s="15">
        <v>0.57850000000000001</v>
      </c>
      <c r="H140" s="15">
        <v>1E-4</v>
      </c>
      <c r="I140" s="15">
        <v>0.25679999999999997</v>
      </c>
      <c r="J140" s="15">
        <v>2.2499999999999999E-2</v>
      </c>
      <c r="K140" s="15">
        <v>0</v>
      </c>
      <c r="L140" s="15">
        <v>0.1386</v>
      </c>
      <c r="M140" s="15">
        <v>3.5000000000000001E-3</v>
      </c>
      <c r="N140" s="15">
        <v>2</v>
      </c>
      <c r="O140" s="15">
        <v>3</v>
      </c>
      <c r="P140" s="15">
        <v>0</v>
      </c>
      <c r="Q140" s="15">
        <v>0</v>
      </c>
    </row>
    <row r="141" spans="1:17" x14ac:dyDescent="0.35">
      <c r="A141" s="10" t="s">
        <v>299</v>
      </c>
      <c r="B141" s="24">
        <f t="shared" ca="1" si="4"/>
        <v>0.41111111111111115</v>
      </c>
      <c r="C141" s="11">
        <v>0.20693287037037036</v>
      </c>
      <c r="D141" s="12">
        <v>56</v>
      </c>
      <c r="E141" s="12">
        <v>0.69540000000000002</v>
      </c>
      <c r="F141" s="30">
        <v>0.55700000000000005</v>
      </c>
      <c r="G141" s="12">
        <v>0.57850000000000001</v>
      </c>
      <c r="H141" s="12">
        <v>1E-4</v>
      </c>
      <c r="I141" s="12">
        <v>0.25679999999999997</v>
      </c>
      <c r="J141" s="12">
        <v>2.2499999999999999E-2</v>
      </c>
      <c r="K141" s="12">
        <v>0</v>
      </c>
      <c r="L141" s="12">
        <v>0.1386</v>
      </c>
      <c r="M141" s="12">
        <v>3.5000000000000001E-3</v>
      </c>
      <c r="N141" s="12">
        <v>2</v>
      </c>
      <c r="O141" s="12">
        <v>3</v>
      </c>
      <c r="P141" s="12">
        <v>0</v>
      </c>
      <c r="Q141" s="12">
        <v>0</v>
      </c>
    </row>
    <row r="142" spans="1:17" x14ac:dyDescent="0.35">
      <c r="A142" s="13" t="s">
        <v>300</v>
      </c>
      <c r="B142" s="25">
        <f t="shared" ca="1" si="4"/>
        <v>0.41041666666666665</v>
      </c>
      <c r="C142" s="14">
        <v>0.20693287037037036</v>
      </c>
      <c r="D142" s="15">
        <v>62</v>
      </c>
      <c r="E142" s="15">
        <v>0.69540000000000002</v>
      </c>
      <c r="F142" s="31">
        <v>0.55700000000000005</v>
      </c>
      <c r="G142" s="15">
        <v>0.57850000000000001</v>
      </c>
      <c r="H142" s="15">
        <v>1E-4</v>
      </c>
      <c r="I142" s="15">
        <v>0.25679999999999997</v>
      </c>
      <c r="J142" s="15">
        <v>2.2499999999999999E-2</v>
      </c>
      <c r="K142" s="15">
        <v>0</v>
      </c>
      <c r="L142" s="15">
        <v>0.1386</v>
      </c>
      <c r="M142" s="15">
        <v>3.5000000000000001E-3</v>
      </c>
      <c r="N142" s="15">
        <v>2</v>
      </c>
      <c r="O142" s="15">
        <v>3</v>
      </c>
      <c r="P142" s="15">
        <v>0</v>
      </c>
      <c r="Q142" s="15">
        <v>0</v>
      </c>
    </row>
    <row r="143" spans="1:17" x14ac:dyDescent="0.35">
      <c r="A143" s="10" t="s">
        <v>301</v>
      </c>
      <c r="B143" s="24">
        <f t="shared" ca="1" si="4"/>
        <v>0.25277777777777777</v>
      </c>
      <c r="C143" s="11">
        <v>0.20693287037037036</v>
      </c>
      <c r="D143" s="12">
        <v>56</v>
      </c>
      <c r="E143" s="12">
        <v>0.69540000000000002</v>
      </c>
      <c r="F143" s="30">
        <v>0.55700000000000005</v>
      </c>
      <c r="G143" s="12">
        <v>0.57850000000000001</v>
      </c>
      <c r="H143" s="12">
        <v>1E-4</v>
      </c>
      <c r="I143" s="12">
        <v>0.25679999999999997</v>
      </c>
      <c r="J143" s="12">
        <v>2.2499999999999999E-2</v>
      </c>
      <c r="K143" s="12">
        <v>0</v>
      </c>
      <c r="L143" s="12">
        <v>0.1386</v>
      </c>
      <c r="M143" s="12">
        <v>3.5000000000000001E-3</v>
      </c>
      <c r="N143" s="12">
        <v>2</v>
      </c>
      <c r="O143" s="12">
        <v>3</v>
      </c>
      <c r="P143" s="12">
        <v>0</v>
      </c>
      <c r="Q143" s="12">
        <v>0</v>
      </c>
    </row>
    <row r="144" spans="1:17" x14ac:dyDescent="0.35">
      <c r="A144" s="13" t="s">
        <v>302</v>
      </c>
      <c r="B144" s="25">
        <f t="shared" ca="1" si="4"/>
        <v>0.26874999999999999</v>
      </c>
      <c r="C144" s="14">
        <v>0.20693287037037036</v>
      </c>
      <c r="D144" s="15">
        <v>80</v>
      </c>
      <c r="E144" s="15">
        <v>0.69540000000000002</v>
      </c>
      <c r="F144" s="31">
        <v>0.55700000000000005</v>
      </c>
      <c r="G144" s="15">
        <v>0.57850000000000001</v>
      </c>
      <c r="H144" s="15">
        <v>1E-4</v>
      </c>
      <c r="I144" s="15">
        <v>0.25679999999999997</v>
      </c>
      <c r="J144" s="15">
        <v>2.2499999999999999E-2</v>
      </c>
      <c r="K144" s="15">
        <v>0</v>
      </c>
      <c r="L144" s="15">
        <v>0.1386</v>
      </c>
      <c r="M144" s="15">
        <v>3.5000000000000001E-3</v>
      </c>
      <c r="N144" s="15">
        <v>2</v>
      </c>
      <c r="O144" s="15">
        <v>3</v>
      </c>
      <c r="P144" s="15">
        <v>0</v>
      </c>
      <c r="Q144" s="15">
        <v>0</v>
      </c>
    </row>
    <row r="145" spans="1:17" x14ac:dyDescent="0.35">
      <c r="A145" s="10" t="s">
        <v>303</v>
      </c>
      <c r="B145" s="24">
        <f t="shared" ca="1" si="4"/>
        <v>0.28819444444444448</v>
      </c>
      <c r="C145" s="11">
        <v>0.20693287037037036</v>
      </c>
      <c r="D145" s="12">
        <v>40</v>
      </c>
      <c r="E145" s="12">
        <v>0.69540000000000002</v>
      </c>
      <c r="F145" s="30">
        <v>0.55700000000000005</v>
      </c>
      <c r="G145" s="12">
        <v>0.57850000000000001</v>
      </c>
      <c r="H145" s="12">
        <v>1E-4</v>
      </c>
      <c r="I145" s="12">
        <v>0.25679999999999997</v>
      </c>
      <c r="J145" s="12">
        <v>2.2499999999999999E-2</v>
      </c>
      <c r="K145" s="12">
        <v>0</v>
      </c>
      <c r="L145" s="12">
        <v>0.1386</v>
      </c>
      <c r="M145" s="12">
        <v>3.5000000000000001E-3</v>
      </c>
      <c r="N145" s="12">
        <v>2</v>
      </c>
      <c r="O145" s="12">
        <v>3</v>
      </c>
      <c r="P145" s="12">
        <v>0</v>
      </c>
      <c r="Q145" s="12">
        <v>0</v>
      </c>
    </row>
    <row r="146" spans="1:17" x14ac:dyDescent="0.35">
      <c r="A146" s="13" t="s">
        <v>304</v>
      </c>
      <c r="B146" s="25">
        <f t="shared" ca="1" si="4"/>
        <v>0.26250000000000001</v>
      </c>
      <c r="C146" s="14">
        <v>0.20693287037037036</v>
      </c>
      <c r="D146" s="15">
        <v>39</v>
      </c>
      <c r="E146" s="15">
        <v>0.69540000000000002</v>
      </c>
      <c r="F146" s="31">
        <v>0.55700000000000005</v>
      </c>
      <c r="G146" s="15">
        <v>0.57850000000000001</v>
      </c>
      <c r="H146" s="15">
        <v>1E-4</v>
      </c>
      <c r="I146" s="15">
        <v>0.25679999999999997</v>
      </c>
      <c r="J146" s="15">
        <v>2.2499999999999999E-2</v>
      </c>
      <c r="K146" s="15">
        <v>0</v>
      </c>
      <c r="L146" s="15">
        <v>0.1386</v>
      </c>
      <c r="M146" s="15">
        <v>3.5000000000000001E-3</v>
      </c>
      <c r="N146" s="15">
        <v>2</v>
      </c>
      <c r="O146" s="15">
        <v>3</v>
      </c>
      <c r="P146" s="15">
        <v>0</v>
      </c>
      <c r="Q146" s="15">
        <v>0</v>
      </c>
    </row>
    <row r="147" spans="1:17" x14ac:dyDescent="0.35">
      <c r="A147" s="10" t="s">
        <v>305</v>
      </c>
      <c r="B147" s="24">
        <f t="shared" ca="1" si="4"/>
        <v>0.25277777777777777</v>
      </c>
      <c r="C147" s="11">
        <v>0.20693287037037036</v>
      </c>
      <c r="D147" s="12">
        <v>73</v>
      </c>
      <c r="E147" s="12">
        <v>0.69540000000000002</v>
      </c>
      <c r="F147" s="30">
        <v>0.55700000000000005</v>
      </c>
      <c r="G147" s="12">
        <v>0.57850000000000001</v>
      </c>
      <c r="H147" s="12">
        <v>1E-4</v>
      </c>
      <c r="I147" s="12">
        <v>0.25679999999999997</v>
      </c>
      <c r="J147" s="12">
        <v>2.2499999999999999E-2</v>
      </c>
      <c r="K147" s="12">
        <v>0</v>
      </c>
      <c r="L147" s="12">
        <v>0.1386</v>
      </c>
      <c r="M147" s="12">
        <v>3.5000000000000001E-3</v>
      </c>
      <c r="N147" s="12">
        <v>2</v>
      </c>
      <c r="O147" s="12">
        <v>3</v>
      </c>
      <c r="P147" s="12">
        <v>0</v>
      </c>
      <c r="Q147" s="12">
        <v>0</v>
      </c>
    </row>
    <row r="148" spans="1:17" x14ac:dyDescent="0.35">
      <c r="A148" s="13" t="s">
        <v>306</v>
      </c>
      <c r="B148" s="25">
        <f t="shared" ca="1" si="4"/>
        <v>0.29791666666666666</v>
      </c>
      <c r="C148" s="14">
        <v>0.20693287037037036</v>
      </c>
      <c r="D148" s="15">
        <v>41</v>
      </c>
      <c r="E148" s="15">
        <v>0.69540000000000002</v>
      </c>
      <c r="F148" s="31">
        <v>0.55700000000000005</v>
      </c>
      <c r="G148" s="15">
        <v>0.57850000000000001</v>
      </c>
      <c r="H148" s="15">
        <v>1E-4</v>
      </c>
      <c r="I148" s="15">
        <v>0.25679999999999997</v>
      </c>
      <c r="J148" s="15">
        <v>2.2499999999999999E-2</v>
      </c>
      <c r="K148" s="15">
        <v>0</v>
      </c>
      <c r="L148" s="15">
        <v>0.1386</v>
      </c>
      <c r="M148" s="15">
        <v>3.5000000000000001E-3</v>
      </c>
      <c r="N148" s="15">
        <v>2</v>
      </c>
      <c r="O148" s="15">
        <v>3</v>
      </c>
      <c r="P148" s="15">
        <v>0</v>
      </c>
      <c r="Q148" s="15">
        <v>0</v>
      </c>
    </row>
    <row r="149" spans="1:17" x14ac:dyDescent="0.35">
      <c r="A149" s="10" t="s">
        <v>307</v>
      </c>
      <c r="B149" s="24">
        <f t="shared" ca="1" si="4"/>
        <v>0.25972222222222224</v>
      </c>
      <c r="C149" s="11">
        <v>0.20693287037037036</v>
      </c>
      <c r="D149" s="12">
        <v>52</v>
      </c>
      <c r="E149" s="12">
        <v>0.69540000000000002</v>
      </c>
      <c r="F149" s="30">
        <v>0.55700000000000005</v>
      </c>
      <c r="G149" s="12">
        <v>0.57850000000000001</v>
      </c>
      <c r="H149" s="12">
        <v>1E-4</v>
      </c>
      <c r="I149" s="12">
        <v>0.25679999999999997</v>
      </c>
      <c r="J149" s="12">
        <v>2.2499999999999999E-2</v>
      </c>
      <c r="K149" s="12">
        <v>0</v>
      </c>
      <c r="L149" s="12">
        <v>0.1386</v>
      </c>
      <c r="M149" s="12">
        <v>3.5000000000000001E-3</v>
      </c>
      <c r="N149" s="12">
        <v>2</v>
      </c>
      <c r="O149" s="12">
        <v>3</v>
      </c>
      <c r="P149" s="12">
        <v>0</v>
      </c>
      <c r="Q149" s="12">
        <v>0</v>
      </c>
    </row>
    <row r="150" spans="1:17" x14ac:dyDescent="0.35">
      <c r="A150" s="13" t="s">
        <v>308</v>
      </c>
      <c r="B150" s="25">
        <f t="shared" ca="1" si="4"/>
        <v>0.40069444444444446</v>
      </c>
      <c r="C150" s="14">
        <v>0.20693287037037036</v>
      </c>
      <c r="D150" s="15">
        <v>59</v>
      </c>
      <c r="E150" s="15">
        <v>0.69540000000000002</v>
      </c>
      <c r="F150" s="31">
        <v>0.55700000000000005</v>
      </c>
      <c r="G150" s="15">
        <v>0.57850000000000001</v>
      </c>
      <c r="H150" s="15">
        <v>1E-4</v>
      </c>
      <c r="I150" s="15">
        <v>0.25679999999999997</v>
      </c>
      <c r="J150" s="15">
        <v>2.2499999999999999E-2</v>
      </c>
      <c r="K150" s="15">
        <v>0</v>
      </c>
      <c r="L150" s="15">
        <v>0.1386</v>
      </c>
      <c r="M150" s="15">
        <v>3.5000000000000001E-3</v>
      </c>
      <c r="N150" s="15">
        <v>2</v>
      </c>
      <c r="O150" s="15">
        <v>3</v>
      </c>
      <c r="P150" s="15">
        <v>0</v>
      </c>
      <c r="Q150" s="15">
        <v>0</v>
      </c>
    </row>
    <row r="151" spans="1:17" x14ac:dyDescent="0.35">
      <c r="A151" s="10" t="s">
        <v>309</v>
      </c>
      <c r="B151" s="24">
        <f t="shared" ca="1" si="4"/>
        <v>0.29722222222222222</v>
      </c>
      <c r="C151" s="11">
        <v>0.20693287037037036</v>
      </c>
      <c r="D151" s="12">
        <v>51</v>
      </c>
      <c r="E151" s="12">
        <v>0.69540000000000002</v>
      </c>
      <c r="F151" s="30">
        <v>0.55700000000000005</v>
      </c>
      <c r="G151" s="12">
        <v>0.57850000000000001</v>
      </c>
      <c r="H151" s="12">
        <v>1E-4</v>
      </c>
      <c r="I151" s="12">
        <v>0.25679999999999997</v>
      </c>
      <c r="J151" s="12">
        <v>2.2499999999999999E-2</v>
      </c>
      <c r="K151" s="12">
        <v>0</v>
      </c>
      <c r="L151" s="12">
        <v>0.1386</v>
      </c>
      <c r="M151" s="12">
        <v>3.5000000000000001E-3</v>
      </c>
      <c r="N151" s="12">
        <v>2</v>
      </c>
      <c r="O151" s="12">
        <v>3</v>
      </c>
      <c r="P151" s="12">
        <v>0</v>
      </c>
      <c r="Q151" s="12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0FCF7-55A7-40DD-9795-493BF5641333}">
  <sheetPr codeName="Sheet3"/>
  <dimension ref="A1:J151"/>
  <sheetViews>
    <sheetView topLeftCell="B1" workbookViewId="0">
      <selection activeCell="D22" sqref="D22"/>
    </sheetView>
  </sheetViews>
  <sheetFormatPr defaultRowHeight="14.5" x14ac:dyDescent="0.35"/>
  <cols>
    <col min="1" max="1" width="28.6328125" bestFit="1" customWidth="1"/>
    <col min="2" max="2" width="17.90625" customWidth="1"/>
    <col min="3" max="3" width="17" bestFit="1" customWidth="1"/>
    <col min="4" max="4" width="17.26953125" bestFit="1" customWidth="1"/>
    <col min="5" max="5" width="15.6328125" bestFit="1" customWidth="1"/>
    <col min="6" max="6" width="11.26953125" bestFit="1" customWidth="1"/>
    <col min="7" max="7" width="17.6328125" bestFit="1" customWidth="1"/>
    <col min="8" max="8" width="24.453125" bestFit="1" customWidth="1"/>
    <col min="9" max="9" width="22.7265625" bestFit="1" customWidth="1"/>
    <col min="10" max="10" width="20.54296875" bestFit="1" customWidth="1"/>
  </cols>
  <sheetData>
    <row r="1" spans="1:10" ht="15" thickBot="1" x14ac:dyDescent="0.4">
      <c r="A1" t="s">
        <v>0</v>
      </c>
      <c r="B1" t="s">
        <v>165</v>
      </c>
      <c r="C1" t="s">
        <v>310</v>
      </c>
      <c r="D1" t="s">
        <v>311</v>
      </c>
      <c r="E1" t="s">
        <v>312</v>
      </c>
      <c r="F1" t="s">
        <v>313</v>
      </c>
      <c r="G1" t="s">
        <v>314</v>
      </c>
      <c r="H1" t="s">
        <v>315</v>
      </c>
      <c r="I1" t="s">
        <v>316</v>
      </c>
      <c r="J1" t="s">
        <v>317</v>
      </c>
    </row>
    <row r="2" spans="1:10" ht="15" thickTop="1" x14ac:dyDescent="0.35">
      <c r="A2" s="7" t="s">
        <v>9</v>
      </c>
      <c r="B2">
        <v>98</v>
      </c>
      <c r="C2">
        <v>0</v>
      </c>
      <c r="D2">
        <v>0</v>
      </c>
      <c r="E2">
        <v>0</v>
      </c>
      <c r="F2">
        <v>0.1</v>
      </c>
      <c r="G2">
        <v>0</v>
      </c>
      <c r="H2" s="4">
        <v>2.9282407407407408E-3</v>
      </c>
      <c r="I2" s="4">
        <v>1.1574074074074073E-5</v>
      </c>
      <c r="J2" s="4">
        <v>1.0416666666666667E-4</v>
      </c>
    </row>
    <row r="3" spans="1:10" x14ac:dyDescent="0.35">
      <c r="A3" s="10" t="s">
        <v>14</v>
      </c>
      <c r="B3">
        <v>23</v>
      </c>
      <c r="C3">
        <v>0</v>
      </c>
      <c r="D3">
        <v>0</v>
      </c>
      <c r="E3">
        <v>0</v>
      </c>
      <c r="F3">
        <v>0.1</v>
      </c>
      <c r="G3">
        <v>0</v>
      </c>
      <c r="H3" s="4">
        <v>2.9282407407407408E-3</v>
      </c>
      <c r="I3" s="4">
        <v>1.1574074074074073E-5</v>
      </c>
      <c r="J3" s="4">
        <v>1.0416666666666667E-4</v>
      </c>
    </row>
    <row r="4" spans="1:10" x14ac:dyDescent="0.35">
      <c r="A4" s="13" t="s">
        <v>15</v>
      </c>
      <c r="B4">
        <v>28</v>
      </c>
      <c r="C4">
        <v>0</v>
      </c>
      <c r="D4">
        <v>0</v>
      </c>
      <c r="E4">
        <v>0</v>
      </c>
      <c r="F4">
        <v>0.1</v>
      </c>
      <c r="G4">
        <v>0</v>
      </c>
      <c r="H4" s="4">
        <v>2.9282407407407408E-3</v>
      </c>
      <c r="I4" s="4">
        <v>1.1574074074074073E-5</v>
      </c>
      <c r="J4" s="4">
        <v>1.0416666666666667E-4</v>
      </c>
    </row>
    <row r="5" spans="1:10" x14ac:dyDescent="0.35">
      <c r="A5" s="10" t="s">
        <v>16</v>
      </c>
      <c r="B5">
        <v>29</v>
      </c>
      <c r="C5">
        <v>0</v>
      </c>
      <c r="D5">
        <v>0</v>
      </c>
      <c r="E5">
        <v>0</v>
      </c>
      <c r="F5">
        <v>0.1</v>
      </c>
      <c r="G5">
        <v>0</v>
      </c>
      <c r="H5" s="4">
        <v>2.9282407407407408E-3</v>
      </c>
      <c r="I5" s="4">
        <v>1.1574074074074073E-5</v>
      </c>
      <c r="J5" s="4">
        <v>1.0416666666666667E-4</v>
      </c>
    </row>
    <row r="6" spans="1:10" x14ac:dyDescent="0.35">
      <c r="A6" s="13" t="s">
        <v>17</v>
      </c>
      <c r="B6">
        <v>93</v>
      </c>
      <c r="C6">
        <v>0</v>
      </c>
      <c r="D6">
        <v>0</v>
      </c>
      <c r="E6">
        <v>0</v>
      </c>
      <c r="F6">
        <v>0.1</v>
      </c>
      <c r="G6">
        <v>0</v>
      </c>
      <c r="H6" s="4">
        <v>2.9282407407407408E-3</v>
      </c>
      <c r="I6" s="4">
        <v>1.1574074074074073E-5</v>
      </c>
      <c r="J6" s="4">
        <v>1.0416666666666667E-4</v>
      </c>
    </row>
    <row r="7" spans="1:10" x14ac:dyDescent="0.35">
      <c r="A7" s="10" t="s">
        <v>18</v>
      </c>
      <c r="B7">
        <v>92</v>
      </c>
      <c r="C7">
        <v>0</v>
      </c>
      <c r="D7">
        <v>0</v>
      </c>
      <c r="E7">
        <v>0</v>
      </c>
      <c r="F7">
        <v>0.1</v>
      </c>
      <c r="G7">
        <v>0</v>
      </c>
      <c r="H7" s="4">
        <v>2.9282407407407408E-3</v>
      </c>
      <c r="I7" s="4">
        <v>1.1574074074074073E-5</v>
      </c>
      <c r="J7" s="4">
        <v>1.0416666666666667E-4</v>
      </c>
    </row>
    <row r="8" spans="1:10" x14ac:dyDescent="0.35">
      <c r="A8" s="13" t="s">
        <v>19</v>
      </c>
      <c r="B8">
        <v>26</v>
      </c>
      <c r="C8">
        <v>0</v>
      </c>
      <c r="D8">
        <v>0</v>
      </c>
      <c r="E8">
        <v>0</v>
      </c>
      <c r="F8">
        <v>0.1</v>
      </c>
      <c r="G8">
        <v>0</v>
      </c>
      <c r="H8" s="4">
        <v>2.9282407407407408E-3</v>
      </c>
      <c r="I8" s="4">
        <v>1.1574074074074073E-5</v>
      </c>
      <c r="J8" s="4">
        <v>1.0416666666666667E-4</v>
      </c>
    </row>
    <row r="9" spans="1:10" x14ac:dyDescent="0.35">
      <c r="A9" s="10" t="s">
        <v>20</v>
      </c>
      <c r="B9">
        <v>90</v>
      </c>
      <c r="C9">
        <v>0</v>
      </c>
      <c r="D9">
        <v>0</v>
      </c>
      <c r="E9">
        <v>0</v>
      </c>
      <c r="F9">
        <v>0.1</v>
      </c>
      <c r="G9">
        <v>0</v>
      </c>
      <c r="H9" s="4">
        <v>2.9282407407407408E-3</v>
      </c>
      <c r="I9" s="4">
        <v>1.1574074074074073E-5</v>
      </c>
      <c r="J9" s="4">
        <v>1.0416666666666667E-4</v>
      </c>
    </row>
    <row r="10" spans="1:10" x14ac:dyDescent="0.35">
      <c r="A10" s="13" t="s">
        <v>21</v>
      </c>
      <c r="B10">
        <v>89</v>
      </c>
      <c r="C10">
        <v>0</v>
      </c>
      <c r="D10">
        <v>0</v>
      </c>
      <c r="E10">
        <v>0</v>
      </c>
      <c r="F10">
        <v>0.1</v>
      </c>
      <c r="G10">
        <v>0</v>
      </c>
      <c r="H10" s="4">
        <v>2.9282407407407408E-3</v>
      </c>
      <c r="I10" s="4">
        <v>1.1574074074074073E-5</v>
      </c>
      <c r="J10" s="4">
        <v>1.0416666666666667E-4</v>
      </c>
    </row>
    <row r="11" spans="1:10" x14ac:dyDescent="0.35">
      <c r="A11" s="10" t="s">
        <v>22</v>
      </c>
      <c r="B11">
        <v>54</v>
      </c>
      <c r="C11">
        <v>0</v>
      </c>
      <c r="D11">
        <v>0</v>
      </c>
      <c r="E11">
        <v>0</v>
      </c>
      <c r="F11">
        <v>0.1</v>
      </c>
      <c r="G11">
        <v>0</v>
      </c>
      <c r="H11" s="4">
        <v>2.9282407407407408E-3</v>
      </c>
      <c r="I11" s="4">
        <v>1.1574074074074073E-5</v>
      </c>
      <c r="J11" s="4">
        <v>1.0416666666666667E-4</v>
      </c>
    </row>
    <row r="12" spans="1:10" x14ac:dyDescent="0.35">
      <c r="A12" s="13" t="s">
        <v>23</v>
      </c>
      <c r="B12">
        <v>87</v>
      </c>
      <c r="C12">
        <v>0</v>
      </c>
      <c r="D12">
        <v>0</v>
      </c>
      <c r="E12">
        <v>0</v>
      </c>
      <c r="F12">
        <v>0.1</v>
      </c>
      <c r="G12">
        <v>0</v>
      </c>
      <c r="H12" s="4">
        <v>2.9282407407407408E-3</v>
      </c>
      <c r="I12" s="4">
        <v>1.1574074074074073E-5</v>
      </c>
      <c r="J12" s="4">
        <v>1.0416666666666667E-4</v>
      </c>
    </row>
    <row r="13" spans="1:10" x14ac:dyDescent="0.35">
      <c r="A13" s="10" t="s">
        <v>24</v>
      </c>
      <c r="B13">
        <v>65</v>
      </c>
      <c r="C13">
        <v>0</v>
      </c>
      <c r="D13">
        <v>0</v>
      </c>
      <c r="E13">
        <v>0</v>
      </c>
      <c r="F13">
        <v>0.1</v>
      </c>
      <c r="G13">
        <v>0</v>
      </c>
      <c r="H13" s="4">
        <v>2.9282407407407408E-3</v>
      </c>
      <c r="I13" s="4">
        <v>1.1574074074074073E-5</v>
      </c>
      <c r="J13" s="4">
        <v>1.0416666666666667E-4</v>
      </c>
    </row>
    <row r="14" spans="1:10" x14ac:dyDescent="0.35">
      <c r="A14" s="13" t="s">
        <v>25</v>
      </c>
      <c r="B14">
        <v>85</v>
      </c>
      <c r="C14">
        <v>0</v>
      </c>
      <c r="D14">
        <v>0</v>
      </c>
      <c r="E14">
        <v>0</v>
      </c>
      <c r="F14">
        <v>0.1</v>
      </c>
      <c r="G14">
        <v>0</v>
      </c>
      <c r="H14" s="4">
        <v>2.9282407407407408E-3</v>
      </c>
      <c r="I14" s="4">
        <v>1.1574074074074073E-5</v>
      </c>
      <c r="J14" s="4">
        <v>1.0416666666666667E-4</v>
      </c>
    </row>
    <row r="15" spans="1:10" x14ac:dyDescent="0.35">
      <c r="A15" s="10" t="s">
        <v>26</v>
      </c>
      <c r="B15">
        <v>65</v>
      </c>
      <c r="C15">
        <v>0</v>
      </c>
      <c r="D15">
        <v>0</v>
      </c>
      <c r="E15">
        <v>0</v>
      </c>
      <c r="F15">
        <v>0.1</v>
      </c>
      <c r="G15">
        <v>0</v>
      </c>
      <c r="H15" s="4">
        <v>2.9282407407407408E-3</v>
      </c>
      <c r="I15" s="4">
        <v>1.1574074074074073E-5</v>
      </c>
      <c r="J15" s="4">
        <v>1.0416666666666667E-4</v>
      </c>
    </row>
    <row r="16" spans="1:10" x14ac:dyDescent="0.35">
      <c r="A16" s="13" t="s">
        <v>27</v>
      </c>
      <c r="B16">
        <v>83</v>
      </c>
      <c r="C16">
        <v>0</v>
      </c>
      <c r="D16">
        <v>0</v>
      </c>
      <c r="E16">
        <v>0</v>
      </c>
      <c r="F16">
        <v>0.1</v>
      </c>
      <c r="G16">
        <v>0</v>
      </c>
      <c r="H16" s="4">
        <v>2.9282407407407408E-3</v>
      </c>
      <c r="I16" s="4">
        <v>1.1574074074074073E-5</v>
      </c>
      <c r="J16" s="4">
        <v>1.0416666666666667E-4</v>
      </c>
    </row>
    <row r="17" spans="1:10" x14ac:dyDescent="0.35">
      <c r="A17" s="10" t="s">
        <v>28</v>
      </c>
      <c r="B17">
        <v>82</v>
      </c>
      <c r="C17">
        <v>0</v>
      </c>
      <c r="D17">
        <v>0</v>
      </c>
      <c r="E17">
        <v>0</v>
      </c>
      <c r="F17">
        <v>0.1</v>
      </c>
      <c r="G17">
        <v>0</v>
      </c>
      <c r="H17" s="4">
        <v>2.9282407407407408E-3</v>
      </c>
      <c r="I17" s="4">
        <v>1.1574074074074073E-5</v>
      </c>
      <c r="J17" s="4">
        <v>1.0416666666666667E-4</v>
      </c>
    </row>
    <row r="18" spans="1:10" x14ac:dyDescent="0.35">
      <c r="A18" s="13" t="s">
        <v>29</v>
      </c>
      <c r="B18">
        <v>81</v>
      </c>
      <c r="C18">
        <v>0</v>
      </c>
      <c r="D18">
        <v>0</v>
      </c>
      <c r="E18">
        <v>0</v>
      </c>
      <c r="F18">
        <v>0.1</v>
      </c>
      <c r="G18">
        <v>0</v>
      </c>
      <c r="H18" s="4">
        <v>2.9282407407407408E-3</v>
      </c>
      <c r="I18" s="4">
        <v>1.1574074074074073E-5</v>
      </c>
      <c r="J18" s="4">
        <v>1.0416666666666667E-4</v>
      </c>
    </row>
    <row r="19" spans="1:10" x14ac:dyDescent="0.35">
      <c r="A19" s="10" t="s">
        <v>30</v>
      </c>
      <c r="B19">
        <v>80</v>
      </c>
      <c r="C19">
        <v>0</v>
      </c>
      <c r="D19">
        <v>0</v>
      </c>
      <c r="E19">
        <v>0</v>
      </c>
      <c r="F19">
        <v>0.1</v>
      </c>
      <c r="G19">
        <v>0</v>
      </c>
      <c r="H19" s="4">
        <v>2.9282407407407408E-3</v>
      </c>
      <c r="I19" s="4">
        <v>1.1574074074074073E-5</v>
      </c>
      <c r="J19" s="4">
        <v>1.0416666666666667E-4</v>
      </c>
    </row>
    <row r="20" spans="1:10" x14ac:dyDescent="0.35">
      <c r="A20" s="13" t="s">
        <v>31</v>
      </c>
      <c r="B20">
        <v>62</v>
      </c>
      <c r="C20">
        <v>0</v>
      </c>
      <c r="D20">
        <v>0</v>
      </c>
      <c r="E20">
        <v>0</v>
      </c>
      <c r="F20">
        <v>0.1</v>
      </c>
      <c r="G20">
        <v>0</v>
      </c>
      <c r="H20" s="4">
        <v>2.9282407407407408E-3</v>
      </c>
      <c r="I20" s="4">
        <v>1.1574074074074073E-5</v>
      </c>
      <c r="J20" s="4">
        <v>1.0416666666666667E-4</v>
      </c>
    </row>
    <row r="21" spans="1:10" x14ac:dyDescent="0.35">
      <c r="A21" s="10" t="s">
        <v>179</v>
      </c>
      <c r="B21">
        <v>68</v>
      </c>
      <c r="C21">
        <v>0</v>
      </c>
      <c r="D21">
        <v>0</v>
      </c>
      <c r="E21">
        <v>0</v>
      </c>
      <c r="F21">
        <v>0.1</v>
      </c>
      <c r="G21">
        <v>0</v>
      </c>
      <c r="H21" s="4">
        <v>2.9282407407407408E-3</v>
      </c>
      <c r="I21" s="4">
        <v>1.1574074074074073E-5</v>
      </c>
      <c r="J21" s="4">
        <v>1.0416666666666667E-4</v>
      </c>
    </row>
    <row r="22" spans="1:10" x14ac:dyDescent="0.35">
      <c r="A22" s="13" t="s">
        <v>180</v>
      </c>
      <c r="B22">
        <v>71</v>
      </c>
      <c r="C22">
        <v>0</v>
      </c>
      <c r="D22">
        <v>0</v>
      </c>
      <c r="E22">
        <v>0</v>
      </c>
      <c r="F22">
        <v>0.1</v>
      </c>
      <c r="G22">
        <v>0</v>
      </c>
      <c r="H22" s="4">
        <v>2.9282407407407408E-3</v>
      </c>
      <c r="I22" s="4">
        <v>1.1574074074074073E-5</v>
      </c>
      <c r="J22" s="4">
        <v>1.0416666666666667E-4</v>
      </c>
    </row>
    <row r="23" spans="1:10" x14ac:dyDescent="0.35">
      <c r="A23" s="10" t="s">
        <v>181</v>
      </c>
      <c r="B23">
        <v>72</v>
      </c>
      <c r="C23">
        <v>0</v>
      </c>
      <c r="D23">
        <v>0</v>
      </c>
      <c r="E23">
        <v>0</v>
      </c>
      <c r="F23">
        <v>0.1</v>
      </c>
      <c r="G23">
        <v>0</v>
      </c>
      <c r="H23" s="4">
        <v>2.9282407407407408E-3</v>
      </c>
      <c r="I23" s="4">
        <v>1.1574074074074073E-5</v>
      </c>
      <c r="J23" s="4">
        <v>1.0416666666666667E-4</v>
      </c>
    </row>
    <row r="24" spans="1:10" x14ac:dyDescent="0.35">
      <c r="A24" s="13" t="s">
        <v>182</v>
      </c>
      <c r="B24">
        <v>90</v>
      </c>
      <c r="C24">
        <v>0</v>
      </c>
      <c r="D24">
        <v>0</v>
      </c>
      <c r="E24">
        <v>0</v>
      </c>
      <c r="F24">
        <v>0.1</v>
      </c>
      <c r="G24">
        <v>0</v>
      </c>
      <c r="H24" s="4">
        <v>2.9282407407407408E-3</v>
      </c>
      <c r="I24" s="4">
        <v>1.1574074074074073E-5</v>
      </c>
      <c r="J24" s="4">
        <v>1.0416666666666667E-4</v>
      </c>
    </row>
    <row r="25" spans="1:10" x14ac:dyDescent="0.35">
      <c r="A25" s="10" t="s">
        <v>183</v>
      </c>
      <c r="B25">
        <v>52</v>
      </c>
      <c r="C25">
        <v>0</v>
      </c>
      <c r="D25">
        <v>0</v>
      </c>
      <c r="E25">
        <v>0</v>
      </c>
      <c r="F25">
        <v>0.1</v>
      </c>
      <c r="G25">
        <v>0</v>
      </c>
      <c r="H25" s="4">
        <v>2.9282407407407408E-3</v>
      </c>
      <c r="I25" s="4">
        <v>1.1574074074074073E-5</v>
      </c>
      <c r="J25" s="4">
        <v>1.0416666666666667E-4</v>
      </c>
    </row>
    <row r="26" spans="1:10" x14ac:dyDescent="0.35">
      <c r="A26" s="13" t="s">
        <v>184</v>
      </c>
      <c r="B26">
        <v>55</v>
      </c>
      <c r="C26">
        <v>0</v>
      </c>
      <c r="D26">
        <v>0</v>
      </c>
      <c r="E26">
        <v>0</v>
      </c>
      <c r="F26">
        <v>0.1</v>
      </c>
      <c r="G26">
        <v>0</v>
      </c>
      <c r="H26" s="4">
        <v>2.9282407407407408E-3</v>
      </c>
      <c r="I26" s="4">
        <v>1.1574074074074073E-5</v>
      </c>
      <c r="J26" s="4">
        <v>1.0416666666666667E-4</v>
      </c>
    </row>
    <row r="27" spans="1:10" x14ac:dyDescent="0.35">
      <c r="A27" s="10" t="s">
        <v>185</v>
      </c>
      <c r="B27">
        <v>45</v>
      </c>
      <c r="C27">
        <v>0</v>
      </c>
      <c r="D27">
        <v>0</v>
      </c>
      <c r="E27">
        <v>0</v>
      </c>
      <c r="F27">
        <v>0.1</v>
      </c>
      <c r="G27">
        <v>0</v>
      </c>
      <c r="H27" s="4">
        <v>2.9282407407407408E-3</v>
      </c>
      <c r="I27" s="4">
        <v>1.1574074074074073E-5</v>
      </c>
      <c r="J27" s="4">
        <v>1.0416666666666667E-4</v>
      </c>
    </row>
    <row r="28" spans="1:10" x14ac:dyDescent="0.35">
      <c r="A28" s="13" t="s">
        <v>186</v>
      </c>
      <c r="B28">
        <v>46</v>
      </c>
      <c r="C28">
        <v>0</v>
      </c>
      <c r="D28">
        <v>0</v>
      </c>
      <c r="E28">
        <v>0</v>
      </c>
      <c r="F28">
        <v>0.1</v>
      </c>
      <c r="G28">
        <v>0</v>
      </c>
      <c r="H28" s="4">
        <v>2.9282407407407408E-3</v>
      </c>
      <c r="I28" s="4">
        <v>1.1574074074074073E-5</v>
      </c>
      <c r="J28" s="4">
        <v>1.0416666666666667E-4</v>
      </c>
    </row>
    <row r="29" spans="1:10" x14ac:dyDescent="0.35">
      <c r="A29" s="10" t="s">
        <v>187</v>
      </c>
      <c r="B29">
        <v>57</v>
      </c>
      <c r="C29">
        <v>0</v>
      </c>
      <c r="D29">
        <v>0</v>
      </c>
      <c r="E29">
        <v>0</v>
      </c>
      <c r="F29">
        <v>0.1</v>
      </c>
      <c r="G29">
        <v>0</v>
      </c>
      <c r="H29" s="4">
        <v>2.9282407407407408E-3</v>
      </c>
      <c r="I29" s="4">
        <v>1.1574074074074073E-5</v>
      </c>
      <c r="J29" s="4">
        <v>1.0416666666666667E-4</v>
      </c>
    </row>
    <row r="30" spans="1:10" x14ac:dyDescent="0.35">
      <c r="A30" s="13" t="s">
        <v>188</v>
      </c>
      <c r="B30">
        <v>92</v>
      </c>
      <c r="C30">
        <v>0</v>
      </c>
      <c r="D30">
        <v>0</v>
      </c>
      <c r="E30">
        <v>0</v>
      </c>
      <c r="F30">
        <v>0.1</v>
      </c>
      <c r="G30">
        <v>0</v>
      </c>
      <c r="H30" s="4">
        <v>2.9282407407407408E-3</v>
      </c>
      <c r="I30" s="4">
        <v>1.1574074074074073E-5</v>
      </c>
      <c r="J30" s="4">
        <v>1.0416666666666667E-4</v>
      </c>
    </row>
    <row r="31" spans="1:10" x14ac:dyDescent="0.35">
      <c r="A31" s="10" t="s">
        <v>189</v>
      </c>
      <c r="B31">
        <v>41</v>
      </c>
      <c r="C31">
        <v>0</v>
      </c>
      <c r="D31">
        <v>0</v>
      </c>
      <c r="E31">
        <v>0</v>
      </c>
      <c r="F31">
        <v>0.1</v>
      </c>
      <c r="G31">
        <v>0</v>
      </c>
      <c r="H31" s="4">
        <v>2.9282407407407408E-3</v>
      </c>
      <c r="I31" s="4">
        <v>1.1574074074074073E-5</v>
      </c>
      <c r="J31" s="4">
        <v>1.0416666666666667E-4</v>
      </c>
    </row>
    <row r="32" spans="1:10" x14ac:dyDescent="0.35">
      <c r="A32" s="13" t="s">
        <v>190</v>
      </c>
      <c r="B32">
        <v>25</v>
      </c>
      <c r="C32">
        <v>0</v>
      </c>
      <c r="D32">
        <v>0</v>
      </c>
      <c r="E32">
        <v>0</v>
      </c>
      <c r="F32">
        <v>0.1</v>
      </c>
      <c r="G32">
        <v>0</v>
      </c>
      <c r="H32" s="4">
        <v>2.9282407407407408E-3</v>
      </c>
      <c r="I32" s="4">
        <v>1.1574074074074073E-5</v>
      </c>
      <c r="J32" s="4">
        <v>1.0416666666666667E-4</v>
      </c>
    </row>
    <row r="33" spans="1:10" x14ac:dyDescent="0.35">
      <c r="A33" s="10" t="s">
        <v>191</v>
      </c>
      <c r="B33">
        <v>74</v>
      </c>
      <c r="C33">
        <v>0</v>
      </c>
      <c r="D33">
        <v>0</v>
      </c>
      <c r="E33">
        <v>0</v>
      </c>
      <c r="F33">
        <v>0.1</v>
      </c>
      <c r="G33">
        <v>0</v>
      </c>
      <c r="H33" s="4">
        <v>2.9282407407407408E-3</v>
      </c>
      <c r="I33" s="4">
        <v>1.1574074074074073E-5</v>
      </c>
      <c r="J33" s="4">
        <v>1.0416666666666667E-4</v>
      </c>
    </row>
    <row r="34" spans="1:10" x14ac:dyDescent="0.35">
      <c r="A34" s="13" t="s">
        <v>192</v>
      </c>
      <c r="B34">
        <v>62</v>
      </c>
      <c r="C34">
        <v>0</v>
      </c>
      <c r="D34">
        <v>0</v>
      </c>
      <c r="E34">
        <v>0</v>
      </c>
      <c r="F34">
        <v>0.1</v>
      </c>
      <c r="G34">
        <v>0</v>
      </c>
      <c r="H34" s="4">
        <v>2.9282407407407408E-3</v>
      </c>
      <c r="I34" s="4">
        <v>1.1574074074074073E-5</v>
      </c>
      <c r="J34" s="4">
        <v>1.0416666666666667E-4</v>
      </c>
    </row>
    <row r="35" spans="1:10" x14ac:dyDescent="0.35">
      <c r="A35" s="10" t="s">
        <v>193</v>
      </c>
      <c r="B35">
        <v>40</v>
      </c>
      <c r="C35">
        <v>0</v>
      </c>
      <c r="D35">
        <v>0</v>
      </c>
      <c r="E35">
        <v>0</v>
      </c>
      <c r="F35">
        <v>0.1</v>
      </c>
      <c r="G35">
        <v>0</v>
      </c>
      <c r="H35" s="4">
        <v>2.9282407407407408E-3</v>
      </c>
      <c r="I35" s="4">
        <v>1.1574074074074073E-5</v>
      </c>
      <c r="J35" s="4">
        <v>1.0416666666666667E-4</v>
      </c>
    </row>
    <row r="36" spans="1:10" x14ac:dyDescent="0.35">
      <c r="A36" s="13" t="s">
        <v>194</v>
      </c>
      <c r="B36">
        <v>47</v>
      </c>
      <c r="C36">
        <v>0</v>
      </c>
      <c r="D36">
        <v>0</v>
      </c>
      <c r="E36">
        <v>0</v>
      </c>
      <c r="F36">
        <v>0.1</v>
      </c>
      <c r="G36">
        <v>0</v>
      </c>
      <c r="H36" s="4">
        <v>2.9282407407407408E-3</v>
      </c>
      <c r="I36" s="4">
        <v>1.1574074074074073E-5</v>
      </c>
      <c r="J36" s="4">
        <v>1.0416666666666667E-4</v>
      </c>
    </row>
    <row r="37" spans="1:10" x14ac:dyDescent="0.35">
      <c r="A37" s="10" t="s">
        <v>195</v>
      </c>
      <c r="B37">
        <v>77</v>
      </c>
      <c r="C37">
        <v>0</v>
      </c>
      <c r="D37">
        <v>0</v>
      </c>
      <c r="E37">
        <v>0</v>
      </c>
      <c r="F37">
        <v>0.1</v>
      </c>
      <c r="G37">
        <v>0</v>
      </c>
      <c r="H37" s="4">
        <v>2.9282407407407408E-3</v>
      </c>
      <c r="I37" s="4">
        <v>1.1574074074074073E-5</v>
      </c>
      <c r="J37" s="4">
        <v>1.0416666666666667E-4</v>
      </c>
    </row>
    <row r="38" spans="1:10" x14ac:dyDescent="0.35">
      <c r="A38" s="13" t="s">
        <v>196</v>
      </c>
      <c r="B38">
        <v>88</v>
      </c>
      <c r="C38">
        <v>0</v>
      </c>
      <c r="D38">
        <v>0</v>
      </c>
      <c r="E38">
        <v>0</v>
      </c>
      <c r="F38">
        <v>0.1</v>
      </c>
      <c r="G38">
        <v>0</v>
      </c>
      <c r="H38" s="4">
        <v>2.9282407407407408E-3</v>
      </c>
      <c r="I38" s="4">
        <v>1.1574074074074073E-5</v>
      </c>
      <c r="J38" s="4">
        <v>1.0416666666666667E-4</v>
      </c>
    </row>
    <row r="39" spans="1:10" x14ac:dyDescent="0.35">
      <c r="A39" s="10" t="s">
        <v>197</v>
      </c>
      <c r="B39">
        <v>64</v>
      </c>
      <c r="C39">
        <v>0</v>
      </c>
      <c r="D39">
        <v>0</v>
      </c>
      <c r="E39">
        <v>0</v>
      </c>
      <c r="F39">
        <v>0.1</v>
      </c>
      <c r="G39">
        <v>0</v>
      </c>
      <c r="H39" s="4">
        <v>2.9282407407407408E-3</v>
      </c>
      <c r="I39" s="4">
        <v>1.1574074074074073E-5</v>
      </c>
      <c r="J39" s="4">
        <v>1.0416666666666667E-4</v>
      </c>
    </row>
    <row r="40" spans="1:10" x14ac:dyDescent="0.35">
      <c r="A40" s="13" t="s">
        <v>198</v>
      </c>
      <c r="B40">
        <v>22</v>
      </c>
      <c r="C40">
        <v>0</v>
      </c>
      <c r="D40">
        <v>0</v>
      </c>
      <c r="E40">
        <v>0</v>
      </c>
      <c r="F40">
        <v>0.1</v>
      </c>
      <c r="G40">
        <v>0</v>
      </c>
      <c r="H40" s="4">
        <v>2.9282407407407408E-3</v>
      </c>
      <c r="I40" s="4">
        <v>1.1574074074074073E-5</v>
      </c>
      <c r="J40" s="4">
        <v>1.0416666666666667E-4</v>
      </c>
    </row>
    <row r="41" spans="1:10" x14ac:dyDescent="0.35">
      <c r="A41" s="10" t="s">
        <v>199</v>
      </c>
      <c r="B41">
        <v>54</v>
      </c>
      <c r="C41">
        <v>0</v>
      </c>
      <c r="D41">
        <v>0</v>
      </c>
      <c r="E41">
        <v>0</v>
      </c>
      <c r="F41">
        <v>0.1</v>
      </c>
      <c r="G41">
        <v>0</v>
      </c>
      <c r="H41" s="4">
        <v>2.9282407407407408E-3</v>
      </c>
      <c r="I41" s="4">
        <v>1.1574074074074073E-5</v>
      </c>
      <c r="J41" s="4">
        <v>1.0416666666666667E-4</v>
      </c>
    </row>
    <row r="42" spans="1:10" x14ac:dyDescent="0.35">
      <c r="A42" s="13" t="s">
        <v>200</v>
      </c>
      <c r="B42">
        <v>76</v>
      </c>
      <c r="C42">
        <v>0</v>
      </c>
      <c r="D42">
        <v>0</v>
      </c>
      <c r="E42">
        <v>0</v>
      </c>
      <c r="F42">
        <v>0.1</v>
      </c>
      <c r="G42">
        <v>0</v>
      </c>
      <c r="H42" s="4">
        <v>2.9282407407407408E-3</v>
      </c>
      <c r="I42" s="4">
        <v>1.1574074074074073E-5</v>
      </c>
      <c r="J42" s="4">
        <v>1.0416666666666667E-4</v>
      </c>
    </row>
    <row r="43" spans="1:10" x14ac:dyDescent="0.35">
      <c r="A43" s="10" t="s">
        <v>201</v>
      </c>
      <c r="B43">
        <v>76</v>
      </c>
      <c r="C43">
        <v>0</v>
      </c>
      <c r="D43">
        <v>0</v>
      </c>
      <c r="E43">
        <v>0</v>
      </c>
      <c r="F43">
        <v>0.1</v>
      </c>
      <c r="G43">
        <v>0</v>
      </c>
      <c r="H43" s="4">
        <v>2.9282407407407408E-3</v>
      </c>
      <c r="I43" s="4">
        <v>1.1574074074074073E-5</v>
      </c>
      <c r="J43" s="4">
        <v>1.0416666666666667E-4</v>
      </c>
    </row>
    <row r="44" spans="1:10" x14ac:dyDescent="0.35">
      <c r="A44" s="13" t="s">
        <v>202</v>
      </c>
      <c r="B44">
        <v>51</v>
      </c>
      <c r="C44">
        <v>0</v>
      </c>
      <c r="D44">
        <v>0</v>
      </c>
      <c r="E44">
        <v>0</v>
      </c>
      <c r="F44">
        <v>0.1</v>
      </c>
      <c r="G44">
        <v>0</v>
      </c>
      <c r="H44" s="4">
        <v>2.9282407407407408E-3</v>
      </c>
      <c r="I44" s="4">
        <v>1.1574074074074073E-5</v>
      </c>
      <c r="J44" s="4">
        <v>1.0416666666666667E-4</v>
      </c>
    </row>
    <row r="45" spans="1:10" x14ac:dyDescent="0.35">
      <c r="A45" s="10" t="s">
        <v>203</v>
      </c>
      <c r="B45">
        <v>37</v>
      </c>
      <c r="C45">
        <v>0</v>
      </c>
      <c r="D45">
        <v>0</v>
      </c>
      <c r="E45">
        <v>0</v>
      </c>
      <c r="F45">
        <v>0.1</v>
      </c>
      <c r="G45">
        <v>0</v>
      </c>
      <c r="H45" s="4">
        <v>2.9282407407407408E-3</v>
      </c>
      <c r="I45" s="4">
        <v>1.1574074074074073E-5</v>
      </c>
      <c r="J45" s="4">
        <v>1.0416666666666667E-4</v>
      </c>
    </row>
    <row r="46" spans="1:10" x14ac:dyDescent="0.35">
      <c r="A46" s="13" t="s">
        <v>204</v>
      </c>
      <c r="B46">
        <v>66</v>
      </c>
      <c r="C46">
        <v>0</v>
      </c>
      <c r="D46">
        <v>0</v>
      </c>
      <c r="E46">
        <v>0</v>
      </c>
      <c r="F46">
        <v>0.1</v>
      </c>
      <c r="G46">
        <v>0</v>
      </c>
      <c r="H46" s="4">
        <v>2.9282407407407408E-3</v>
      </c>
      <c r="I46" s="4">
        <v>1.1574074074074073E-5</v>
      </c>
      <c r="J46" s="4">
        <v>1.0416666666666667E-4</v>
      </c>
    </row>
    <row r="47" spans="1:10" x14ac:dyDescent="0.35">
      <c r="A47" s="10" t="s">
        <v>205</v>
      </c>
      <c r="B47">
        <v>54</v>
      </c>
      <c r="C47">
        <v>0</v>
      </c>
      <c r="D47">
        <v>0</v>
      </c>
      <c r="E47">
        <v>0</v>
      </c>
      <c r="F47">
        <v>0.1</v>
      </c>
      <c r="G47">
        <v>0</v>
      </c>
      <c r="H47" s="4">
        <v>2.9282407407407408E-3</v>
      </c>
      <c r="I47" s="4">
        <v>1.1574074074074073E-5</v>
      </c>
      <c r="J47" s="4">
        <v>1.0416666666666667E-4</v>
      </c>
    </row>
    <row r="48" spans="1:10" x14ac:dyDescent="0.35">
      <c r="A48" s="13" t="s">
        <v>206</v>
      </c>
      <c r="B48">
        <v>30</v>
      </c>
      <c r="C48">
        <v>0</v>
      </c>
      <c r="D48">
        <v>0</v>
      </c>
      <c r="E48">
        <v>0</v>
      </c>
      <c r="F48">
        <v>0.1</v>
      </c>
      <c r="G48">
        <v>0</v>
      </c>
      <c r="H48" s="4">
        <v>2.9282407407407408E-3</v>
      </c>
      <c r="I48" s="4">
        <v>1.1574074074074073E-5</v>
      </c>
      <c r="J48" s="4">
        <v>1.0416666666666667E-4</v>
      </c>
    </row>
    <row r="49" spans="1:10" x14ac:dyDescent="0.35">
      <c r="A49" s="10" t="s">
        <v>207</v>
      </c>
      <c r="B49">
        <v>33</v>
      </c>
      <c r="C49">
        <v>0</v>
      </c>
      <c r="D49">
        <v>0</v>
      </c>
      <c r="E49">
        <v>0</v>
      </c>
      <c r="F49">
        <v>0.1</v>
      </c>
      <c r="G49">
        <v>0</v>
      </c>
      <c r="H49" s="4">
        <v>2.9282407407407408E-3</v>
      </c>
      <c r="I49" s="4">
        <v>1.1574074074074073E-5</v>
      </c>
      <c r="J49" s="4">
        <v>1.0416666666666667E-4</v>
      </c>
    </row>
    <row r="50" spans="1:10" x14ac:dyDescent="0.35">
      <c r="A50" s="13" t="s">
        <v>208</v>
      </c>
      <c r="B50">
        <v>24</v>
      </c>
      <c r="C50">
        <v>0</v>
      </c>
      <c r="D50">
        <v>0</v>
      </c>
      <c r="E50">
        <v>0</v>
      </c>
      <c r="F50">
        <v>0.1</v>
      </c>
      <c r="G50">
        <v>0</v>
      </c>
      <c r="H50" s="4">
        <v>2.9282407407407408E-3</v>
      </c>
      <c r="I50" s="4">
        <v>1.1574074074074073E-5</v>
      </c>
      <c r="J50" s="4">
        <v>1.0416666666666667E-4</v>
      </c>
    </row>
    <row r="51" spans="1:10" x14ac:dyDescent="0.35">
      <c r="A51" s="10" t="s">
        <v>209</v>
      </c>
      <c r="B51">
        <v>97</v>
      </c>
      <c r="C51">
        <v>0</v>
      </c>
      <c r="D51">
        <v>0</v>
      </c>
      <c r="E51">
        <v>0</v>
      </c>
      <c r="F51">
        <v>0.1</v>
      </c>
      <c r="G51">
        <v>0</v>
      </c>
      <c r="H51" s="4">
        <v>2.9282407407407408E-3</v>
      </c>
      <c r="I51" s="4">
        <v>1.1574074074074073E-5</v>
      </c>
      <c r="J51" s="4">
        <v>1.0416666666666667E-4</v>
      </c>
    </row>
    <row r="52" spans="1:10" x14ac:dyDescent="0.35">
      <c r="A52" s="13" t="s">
        <v>210</v>
      </c>
      <c r="B52">
        <v>76</v>
      </c>
      <c r="C52">
        <v>0</v>
      </c>
      <c r="D52">
        <v>0</v>
      </c>
      <c r="E52">
        <v>0</v>
      </c>
      <c r="F52">
        <v>0.1</v>
      </c>
      <c r="G52">
        <v>0</v>
      </c>
      <c r="H52" s="4">
        <v>2.9282407407407408E-3</v>
      </c>
      <c r="I52" s="4">
        <v>1.1574074074074073E-5</v>
      </c>
      <c r="J52" s="4">
        <v>1.0416666666666667E-4</v>
      </c>
    </row>
    <row r="53" spans="1:10" x14ac:dyDescent="0.35">
      <c r="A53" s="10" t="s">
        <v>211</v>
      </c>
      <c r="B53">
        <v>33</v>
      </c>
      <c r="C53">
        <v>0</v>
      </c>
      <c r="D53">
        <v>0</v>
      </c>
      <c r="E53">
        <v>0</v>
      </c>
      <c r="F53">
        <v>0.1</v>
      </c>
      <c r="G53">
        <v>0</v>
      </c>
      <c r="H53" s="4">
        <v>2.9282407407407408E-3</v>
      </c>
      <c r="I53" s="4">
        <v>1.1574074074074073E-5</v>
      </c>
      <c r="J53" s="4">
        <v>1.0416666666666667E-4</v>
      </c>
    </row>
    <row r="54" spans="1:10" x14ac:dyDescent="0.35">
      <c r="A54" s="13" t="s">
        <v>212</v>
      </c>
      <c r="B54">
        <v>98</v>
      </c>
      <c r="C54">
        <v>0</v>
      </c>
      <c r="D54">
        <v>0</v>
      </c>
      <c r="E54">
        <v>0</v>
      </c>
      <c r="F54">
        <v>0.1</v>
      </c>
      <c r="G54">
        <v>0</v>
      </c>
      <c r="H54" s="4">
        <v>2.9282407407407408E-3</v>
      </c>
      <c r="I54" s="4">
        <v>1.1574074074074073E-5</v>
      </c>
      <c r="J54" s="4">
        <v>1.0416666666666667E-4</v>
      </c>
    </row>
    <row r="55" spans="1:10" x14ac:dyDescent="0.35">
      <c r="A55" s="10" t="s">
        <v>213</v>
      </c>
      <c r="B55">
        <v>22</v>
      </c>
      <c r="C55">
        <v>0</v>
      </c>
      <c r="D55">
        <v>0</v>
      </c>
      <c r="E55">
        <v>0</v>
      </c>
      <c r="F55">
        <v>0.1</v>
      </c>
      <c r="G55">
        <v>0</v>
      </c>
      <c r="H55" s="4">
        <v>2.9282407407407408E-3</v>
      </c>
      <c r="I55" s="4">
        <v>1.1574074074074073E-5</v>
      </c>
      <c r="J55" s="4">
        <v>1.0416666666666667E-4</v>
      </c>
    </row>
    <row r="56" spans="1:10" x14ac:dyDescent="0.35">
      <c r="A56" s="13" t="s">
        <v>214</v>
      </c>
      <c r="B56">
        <v>72</v>
      </c>
      <c r="C56">
        <v>0</v>
      </c>
      <c r="D56">
        <v>0</v>
      </c>
      <c r="E56">
        <v>0</v>
      </c>
      <c r="F56">
        <v>0.1</v>
      </c>
      <c r="G56">
        <v>0</v>
      </c>
      <c r="H56" s="4">
        <v>2.9282407407407408E-3</v>
      </c>
      <c r="I56" s="4">
        <v>1.1574074074074073E-5</v>
      </c>
      <c r="J56" s="4">
        <v>1.0416666666666667E-4</v>
      </c>
    </row>
    <row r="57" spans="1:10" x14ac:dyDescent="0.35">
      <c r="A57" s="10" t="s">
        <v>215</v>
      </c>
      <c r="B57">
        <v>28</v>
      </c>
      <c r="C57">
        <v>0</v>
      </c>
      <c r="D57">
        <v>0</v>
      </c>
      <c r="E57">
        <v>0</v>
      </c>
      <c r="F57">
        <v>0.1</v>
      </c>
      <c r="G57">
        <v>0</v>
      </c>
      <c r="H57" s="4">
        <v>2.9282407407407408E-3</v>
      </c>
      <c r="I57" s="4">
        <v>1.1574074074074073E-5</v>
      </c>
      <c r="J57" s="4">
        <v>1.0416666666666667E-4</v>
      </c>
    </row>
    <row r="58" spans="1:10" x14ac:dyDescent="0.35">
      <c r="A58" s="13" t="s">
        <v>216</v>
      </c>
      <c r="B58">
        <v>94</v>
      </c>
      <c r="C58">
        <v>0</v>
      </c>
      <c r="D58">
        <v>0</v>
      </c>
      <c r="E58">
        <v>0</v>
      </c>
      <c r="F58">
        <v>0.1</v>
      </c>
      <c r="G58">
        <v>0</v>
      </c>
      <c r="H58" s="4">
        <v>2.9282407407407408E-3</v>
      </c>
      <c r="I58" s="4">
        <v>1.1574074074074073E-5</v>
      </c>
      <c r="J58" s="4">
        <v>1.0416666666666667E-4</v>
      </c>
    </row>
    <row r="59" spans="1:10" x14ac:dyDescent="0.35">
      <c r="A59" s="10" t="s">
        <v>217</v>
      </c>
      <c r="B59">
        <v>48</v>
      </c>
      <c r="C59">
        <v>0</v>
      </c>
      <c r="D59">
        <v>0</v>
      </c>
      <c r="E59">
        <v>0</v>
      </c>
      <c r="F59">
        <v>0.1</v>
      </c>
      <c r="G59">
        <v>0</v>
      </c>
      <c r="H59" s="4">
        <v>2.9282407407407408E-3</v>
      </c>
      <c r="I59" s="4">
        <v>1.1574074074074073E-5</v>
      </c>
      <c r="J59" s="4">
        <v>1.0416666666666667E-4</v>
      </c>
    </row>
    <row r="60" spans="1:10" x14ac:dyDescent="0.35">
      <c r="A60" s="13" t="s">
        <v>218</v>
      </c>
      <c r="B60">
        <v>39</v>
      </c>
      <c r="C60">
        <v>0</v>
      </c>
      <c r="D60">
        <v>0</v>
      </c>
      <c r="E60">
        <v>0</v>
      </c>
      <c r="F60">
        <v>0.1</v>
      </c>
      <c r="G60">
        <v>0</v>
      </c>
      <c r="H60" s="4">
        <v>2.9282407407407408E-3</v>
      </c>
      <c r="I60" s="4">
        <v>1.1574074074074073E-5</v>
      </c>
      <c r="J60" s="4">
        <v>1.0416666666666667E-4</v>
      </c>
    </row>
    <row r="61" spans="1:10" x14ac:dyDescent="0.35">
      <c r="A61" s="10" t="s">
        <v>219</v>
      </c>
      <c r="B61">
        <v>32</v>
      </c>
      <c r="C61">
        <v>0</v>
      </c>
      <c r="D61">
        <v>0</v>
      </c>
      <c r="E61">
        <v>0</v>
      </c>
      <c r="F61">
        <v>0.1</v>
      </c>
      <c r="G61">
        <v>0</v>
      </c>
      <c r="H61" s="4">
        <v>2.9282407407407408E-3</v>
      </c>
      <c r="I61" s="4">
        <v>1.1574074074074073E-5</v>
      </c>
      <c r="J61" s="4">
        <v>1.0416666666666667E-4</v>
      </c>
    </row>
    <row r="62" spans="1:10" x14ac:dyDescent="0.35">
      <c r="A62" s="13" t="s">
        <v>220</v>
      </c>
      <c r="B62">
        <v>24</v>
      </c>
      <c r="C62">
        <v>0</v>
      </c>
      <c r="D62">
        <v>0</v>
      </c>
      <c r="E62">
        <v>0</v>
      </c>
      <c r="F62">
        <v>0.1</v>
      </c>
      <c r="G62">
        <v>0</v>
      </c>
      <c r="H62" s="4">
        <v>2.9282407407407408E-3</v>
      </c>
      <c r="I62" s="4">
        <v>1.1574074074074073E-5</v>
      </c>
      <c r="J62" s="4">
        <v>1.0416666666666667E-4</v>
      </c>
    </row>
    <row r="63" spans="1:10" x14ac:dyDescent="0.35">
      <c r="A63" s="10" t="s">
        <v>221</v>
      </c>
      <c r="B63">
        <v>92</v>
      </c>
      <c r="C63">
        <v>0</v>
      </c>
      <c r="D63">
        <v>0</v>
      </c>
      <c r="E63">
        <v>0</v>
      </c>
      <c r="F63">
        <v>0.1</v>
      </c>
      <c r="G63">
        <v>0</v>
      </c>
      <c r="H63" s="4">
        <v>2.9282407407407408E-3</v>
      </c>
      <c r="I63" s="4">
        <v>1.1574074074074073E-5</v>
      </c>
      <c r="J63" s="4">
        <v>1.0416666666666667E-4</v>
      </c>
    </row>
    <row r="64" spans="1:10" x14ac:dyDescent="0.35">
      <c r="A64" s="13" t="s">
        <v>222</v>
      </c>
      <c r="B64">
        <v>55</v>
      </c>
      <c r="C64">
        <v>0</v>
      </c>
      <c r="D64">
        <v>0</v>
      </c>
      <c r="E64">
        <v>0</v>
      </c>
      <c r="F64">
        <v>0.1</v>
      </c>
      <c r="G64">
        <v>0</v>
      </c>
      <c r="H64" s="4">
        <v>2.9282407407407408E-3</v>
      </c>
      <c r="I64" s="4">
        <v>1.1574074074074073E-5</v>
      </c>
      <c r="J64" s="4">
        <v>1.0416666666666667E-4</v>
      </c>
    </row>
    <row r="65" spans="1:10" x14ac:dyDescent="0.35">
      <c r="A65" s="10" t="s">
        <v>223</v>
      </c>
      <c r="B65">
        <v>70</v>
      </c>
      <c r="C65">
        <v>0</v>
      </c>
      <c r="D65">
        <v>0</v>
      </c>
      <c r="E65">
        <v>0</v>
      </c>
      <c r="F65">
        <v>0.1</v>
      </c>
      <c r="G65">
        <v>0</v>
      </c>
      <c r="H65" s="4">
        <v>2.9282407407407408E-3</v>
      </c>
      <c r="I65" s="4">
        <v>1.1574074074074073E-5</v>
      </c>
      <c r="J65" s="4">
        <v>1.0416666666666667E-4</v>
      </c>
    </row>
    <row r="66" spans="1:10" x14ac:dyDescent="0.35">
      <c r="A66" s="13" t="s">
        <v>224</v>
      </c>
      <c r="B66">
        <v>30</v>
      </c>
      <c r="C66">
        <v>0</v>
      </c>
      <c r="D66">
        <v>0</v>
      </c>
      <c r="E66">
        <v>0</v>
      </c>
      <c r="F66">
        <v>0.1</v>
      </c>
      <c r="G66">
        <v>0</v>
      </c>
      <c r="H66" s="4">
        <v>2.9282407407407408E-3</v>
      </c>
      <c r="I66" s="4">
        <v>1.1574074074074073E-5</v>
      </c>
      <c r="J66" s="4">
        <v>1.0416666666666667E-4</v>
      </c>
    </row>
    <row r="67" spans="1:10" x14ac:dyDescent="0.35">
      <c r="A67" s="10" t="s">
        <v>225</v>
      </c>
      <c r="B67">
        <v>91</v>
      </c>
      <c r="C67">
        <v>0</v>
      </c>
      <c r="D67">
        <v>0</v>
      </c>
      <c r="E67">
        <v>0</v>
      </c>
      <c r="F67">
        <v>0.1</v>
      </c>
      <c r="G67">
        <v>0</v>
      </c>
      <c r="H67" s="4">
        <v>2.9282407407407408E-3</v>
      </c>
      <c r="I67" s="4">
        <v>1.1574074074074073E-5</v>
      </c>
      <c r="J67" s="4">
        <v>1.0416666666666667E-4</v>
      </c>
    </row>
    <row r="68" spans="1:10" x14ac:dyDescent="0.35">
      <c r="A68" s="13" t="s">
        <v>226</v>
      </c>
      <c r="B68">
        <v>43</v>
      </c>
      <c r="C68">
        <v>0</v>
      </c>
      <c r="D68">
        <v>0</v>
      </c>
      <c r="E68">
        <v>0</v>
      </c>
      <c r="F68">
        <v>0.1</v>
      </c>
      <c r="G68">
        <v>0</v>
      </c>
      <c r="H68" s="4">
        <v>2.9282407407407408E-3</v>
      </c>
      <c r="I68" s="4">
        <v>1.1574074074074073E-5</v>
      </c>
      <c r="J68" s="4">
        <v>1.0416666666666667E-4</v>
      </c>
    </row>
    <row r="69" spans="1:10" x14ac:dyDescent="0.35">
      <c r="A69" s="10" t="s">
        <v>227</v>
      </c>
      <c r="B69">
        <v>74</v>
      </c>
      <c r="C69">
        <v>0</v>
      </c>
      <c r="D69">
        <v>0</v>
      </c>
      <c r="E69">
        <v>0</v>
      </c>
      <c r="F69">
        <v>0.1</v>
      </c>
      <c r="G69">
        <v>0</v>
      </c>
      <c r="H69" s="4">
        <v>2.9282407407407408E-3</v>
      </c>
      <c r="I69" s="4">
        <v>1.1574074074074073E-5</v>
      </c>
      <c r="J69" s="4">
        <v>1.0416666666666667E-4</v>
      </c>
    </row>
    <row r="70" spans="1:10" x14ac:dyDescent="0.35">
      <c r="A70" s="13" t="s">
        <v>228</v>
      </c>
      <c r="B70">
        <v>62</v>
      </c>
      <c r="C70">
        <v>0</v>
      </c>
      <c r="D70">
        <v>0</v>
      </c>
      <c r="E70">
        <v>0</v>
      </c>
      <c r="F70">
        <v>0.1</v>
      </c>
      <c r="G70">
        <v>0</v>
      </c>
      <c r="H70" s="4">
        <v>2.9282407407407408E-3</v>
      </c>
      <c r="I70" s="4">
        <v>1.1574074074074073E-5</v>
      </c>
      <c r="J70" s="4">
        <v>1.0416666666666667E-4</v>
      </c>
    </row>
    <row r="71" spans="1:10" x14ac:dyDescent="0.35">
      <c r="A71" s="10" t="s">
        <v>229</v>
      </c>
      <c r="B71">
        <v>28</v>
      </c>
      <c r="C71">
        <v>0</v>
      </c>
      <c r="D71">
        <v>0</v>
      </c>
      <c r="E71">
        <v>0</v>
      </c>
      <c r="F71">
        <v>0.1</v>
      </c>
      <c r="G71">
        <v>0</v>
      </c>
      <c r="H71" s="4">
        <v>2.9282407407407408E-3</v>
      </c>
      <c r="I71" s="4">
        <v>1.1574074074074073E-5</v>
      </c>
      <c r="J71" s="4">
        <v>1.0416666666666667E-4</v>
      </c>
    </row>
    <row r="72" spans="1:10" x14ac:dyDescent="0.35">
      <c r="A72" s="13" t="s">
        <v>230</v>
      </c>
      <c r="B72">
        <v>94</v>
      </c>
      <c r="C72">
        <v>0</v>
      </c>
      <c r="D72">
        <v>0</v>
      </c>
      <c r="E72">
        <v>0</v>
      </c>
      <c r="F72">
        <v>0.1</v>
      </c>
      <c r="G72">
        <v>0</v>
      </c>
      <c r="H72" s="4">
        <v>2.9282407407407408E-3</v>
      </c>
      <c r="I72" s="4">
        <v>1.1574074074074073E-5</v>
      </c>
      <c r="J72" s="4">
        <v>1.0416666666666667E-4</v>
      </c>
    </row>
    <row r="73" spans="1:10" x14ac:dyDescent="0.35">
      <c r="A73" s="10" t="s">
        <v>231</v>
      </c>
      <c r="B73">
        <v>79</v>
      </c>
      <c r="C73">
        <v>0</v>
      </c>
      <c r="D73">
        <v>0</v>
      </c>
      <c r="E73">
        <v>0</v>
      </c>
      <c r="F73">
        <v>0.1</v>
      </c>
      <c r="G73">
        <v>0</v>
      </c>
      <c r="H73" s="4">
        <v>2.9282407407407408E-3</v>
      </c>
      <c r="I73" s="4">
        <v>1.1574074074074073E-5</v>
      </c>
      <c r="J73" s="4">
        <v>1.0416666666666667E-4</v>
      </c>
    </row>
    <row r="74" spans="1:10" x14ac:dyDescent="0.35">
      <c r="A74" s="13" t="s">
        <v>232</v>
      </c>
      <c r="B74">
        <v>54</v>
      </c>
      <c r="C74">
        <v>0</v>
      </c>
      <c r="D74">
        <v>0</v>
      </c>
      <c r="E74">
        <v>0</v>
      </c>
      <c r="F74">
        <v>0.1</v>
      </c>
      <c r="G74">
        <v>0</v>
      </c>
      <c r="H74" s="4">
        <v>2.9282407407407408E-3</v>
      </c>
      <c r="I74" s="4">
        <v>1.1574074074074073E-5</v>
      </c>
      <c r="J74" s="4">
        <v>1.0416666666666667E-4</v>
      </c>
    </row>
    <row r="75" spans="1:10" x14ac:dyDescent="0.35">
      <c r="A75" s="10" t="s">
        <v>233</v>
      </c>
      <c r="B75">
        <v>75</v>
      </c>
      <c r="C75">
        <v>0</v>
      </c>
      <c r="D75">
        <v>0</v>
      </c>
      <c r="E75">
        <v>0</v>
      </c>
      <c r="F75">
        <v>0.1</v>
      </c>
      <c r="G75">
        <v>0</v>
      </c>
      <c r="H75" s="4">
        <v>2.9282407407407408E-3</v>
      </c>
      <c r="I75" s="4">
        <v>1.1574074074074073E-5</v>
      </c>
      <c r="J75" s="4">
        <v>1.0416666666666667E-4</v>
      </c>
    </row>
    <row r="76" spans="1:10" x14ac:dyDescent="0.35">
      <c r="A76" s="13" t="s">
        <v>234</v>
      </c>
      <c r="B76">
        <v>90</v>
      </c>
      <c r="C76">
        <v>0</v>
      </c>
      <c r="D76">
        <v>0</v>
      </c>
      <c r="E76">
        <v>0</v>
      </c>
      <c r="F76">
        <v>0.1</v>
      </c>
      <c r="G76">
        <v>0</v>
      </c>
      <c r="H76" s="4">
        <v>2.9282407407407408E-3</v>
      </c>
      <c r="I76" s="4">
        <v>1.1574074074074073E-5</v>
      </c>
      <c r="J76" s="4">
        <v>1.0416666666666667E-4</v>
      </c>
    </row>
    <row r="77" spans="1:10" x14ac:dyDescent="0.35">
      <c r="A77" s="10" t="s">
        <v>235</v>
      </c>
      <c r="B77">
        <v>99</v>
      </c>
      <c r="C77">
        <v>0</v>
      </c>
      <c r="D77">
        <v>0</v>
      </c>
      <c r="E77">
        <v>0</v>
      </c>
      <c r="F77">
        <v>0.1</v>
      </c>
      <c r="G77">
        <v>0</v>
      </c>
      <c r="H77" s="4">
        <v>2.9282407407407408E-3</v>
      </c>
      <c r="I77" s="4">
        <v>1.1574074074074073E-5</v>
      </c>
      <c r="J77" s="4">
        <v>1.0416666666666667E-4</v>
      </c>
    </row>
    <row r="78" spans="1:10" x14ac:dyDescent="0.35">
      <c r="A78" s="13" t="s">
        <v>236</v>
      </c>
      <c r="B78">
        <v>87</v>
      </c>
      <c r="C78">
        <v>0</v>
      </c>
      <c r="D78">
        <v>0</v>
      </c>
      <c r="E78">
        <v>0</v>
      </c>
      <c r="F78">
        <v>0.1</v>
      </c>
      <c r="G78">
        <v>0</v>
      </c>
      <c r="H78" s="4">
        <v>2.9282407407407408E-3</v>
      </c>
      <c r="I78" s="4">
        <v>1.1574074074074073E-5</v>
      </c>
      <c r="J78" s="4">
        <v>1.0416666666666667E-4</v>
      </c>
    </row>
    <row r="79" spans="1:10" x14ac:dyDescent="0.35">
      <c r="A79" s="10" t="s">
        <v>237</v>
      </c>
      <c r="B79">
        <v>47</v>
      </c>
      <c r="C79">
        <v>0</v>
      </c>
      <c r="D79">
        <v>0</v>
      </c>
      <c r="E79">
        <v>0</v>
      </c>
      <c r="F79">
        <v>0.1</v>
      </c>
      <c r="G79">
        <v>0</v>
      </c>
      <c r="H79" s="4">
        <v>2.9282407407407408E-3</v>
      </c>
      <c r="I79" s="4">
        <v>1.1574074074074073E-5</v>
      </c>
      <c r="J79" s="4">
        <v>1.0416666666666667E-4</v>
      </c>
    </row>
    <row r="80" spans="1:10" x14ac:dyDescent="0.35">
      <c r="A80" s="13" t="s">
        <v>238</v>
      </c>
      <c r="B80">
        <v>72</v>
      </c>
      <c r="C80">
        <v>0</v>
      </c>
      <c r="D80">
        <v>0</v>
      </c>
      <c r="E80">
        <v>0</v>
      </c>
      <c r="F80">
        <v>0.1</v>
      </c>
      <c r="G80">
        <v>0</v>
      </c>
      <c r="H80" s="4">
        <v>2.9282407407407408E-3</v>
      </c>
      <c r="I80" s="4">
        <v>1.1574074074074073E-5</v>
      </c>
      <c r="J80" s="4">
        <v>1.0416666666666667E-4</v>
      </c>
    </row>
    <row r="81" spans="1:10" x14ac:dyDescent="0.35">
      <c r="A81" s="10" t="s">
        <v>239</v>
      </c>
      <c r="B81">
        <v>76</v>
      </c>
      <c r="C81">
        <v>0</v>
      </c>
      <c r="D81">
        <v>0</v>
      </c>
      <c r="E81">
        <v>0</v>
      </c>
      <c r="F81">
        <v>0.1</v>
      </c>
      <c r="G81">
        <v>0</v>
      </c>
      <c r="H81" s="4">
        <v>2.9282407407407408E-3</v>
      </c>
      <c r="I81" s="4">
        <v>1.1574074074074073E-5</v>
      </c>
      <c r="J81" s="4">
        <v>1.0416666666666667E-4</v>
      </c>
    </row>
    <row r="82" spans="1:10" x14ac:dyDescent="0.35">
      <c r="A82" s="13" t="s">
        <v>240</v>
      </c>
      <c r="B82">
        <v>21</v>
      </c>
      <c r="C82">
        <v>0</v>
      </c>
      <c r="D82">
        <v>0</v>
      </c>
      <c r="E82">
        <v>0</v>
      </c>
      <c r="F82">
        <v>0.1</v>
      </c>
      <c r="G82">
        <v>0</v>
      </c>
      <c r="H82" s="4">
        <v>2.9282407407407408E-3</v>
      </c>
      <c r="I82" s="4">
        <v>1.1574074074074073E-5</v>
      </c>
      <c r="J82" s="4">
        <v>1.0416666666666667E-4</v>
      </c>
    </row>
    <row r="83" spans="1:10" x14ac:dyDescent="0.35">
      <c r="A83" s="10" t="s">
        <v>241</v>
      </c>
      <c r="B83">
        <v>35</v>
      </c>
      <c r="C83">
        <v>0</v>
      </c>
      <c r="D83">
        <v>0</v>
      </c>
      <c r="E83">
        <v>0</v>
      </c>
      <c r="F83">
        <v>0.1</v>
      </c>
      <c r="G83">
        <v>0</v>
      </c>
      <c r="H83" s="4">
        <v>2.9282407407407408E-3</v>
      </c>
      <c r="I83" s="4">
        <v>1.1574074074074073E-5</v>
      </c>
      <c r="J83" s="4">
        <v>1.0416666666666667E-4</v>
      </c>
    </row>
    <row r="84" spans="1:10" x14ac:dyDescent="0.35">
      <c r="A84" s="13" t="s">
        <v>242</v>
      </c>
      <c r="B84">
        <v>49</v>
      </c>
      <c r="C84">
        <v>0</v>
      </c>
      <c r="D84">
        <v>0</v>
      </c>
      <c r="E84">
        <v>0</v>
      </c>
      <c r="F84">
        <v>0.1</v>
      </c>
      <c r="G84">
        <v>0</v>
      </c>
      <c r="H84" s="4">
        <v>2.9282407407407408E-3</v>
      </c>
      <c r="I84" s="4">
        <v>1.1574074074074073E-5</v>
      </c>
      <c r="J84" s="4">
        <v>1.0416666666666667E-4</v>
      </c>
    </row>
    <row r="85" spans="1:10" x14ac:dyDescent="0.35">
      <c r="A85" s="10" t="s">
        <v>243</v>
      </c>
      <c r="B85">
        <v>56</v>
      </c>
      <c r="C85">
        <v>0</v>
      </c>
      <c r="D85">
        <v>0</v>
      </c>
      <c r="E85">
        <v>0</v>
      </c>
      <c r="F85">
        <v>0.1</v>
      </c>
      <c r="G85">
        <v>0</v>
      </c>
      <c r="H85" s="4">
        <v>2.9282407407407408E-3</v>
      </c>
      <c r="I85" s="4">
        <v>1.1574074074074073E-5</v>
      </c>
      <c r="J85" s="4">
        <v>1.0416666666666667E-4</v>
      </c>
    </row>
    <row r="86" spans="1:10" x14ac:dyDescent="0.35">
      <c r="A86" s="13" t="s">
        <v>244</v>
      </c>
      <c r="B86">
        <v>90</v>
      </c>
      <c r="C86">
        <v>0</v>
      </c>
      <c r="D86">
        <v>0</v>
      </c>
      <c r="E86">
        <v>0</v>
      </c>
      <c r="F86">
        <v>0.1</v>
      </c>
      <c r="G86">
        <v>0</v>
      </c>
      <c r="H86" s="4">
        <v>2.9282407407407408E-3</v>
      </c>
      <c r="I86" s="4">
        <v>1.1574074074074073E-5</v>
      </c>
      <c r="J86" s="4">
        <v>1.0416666666666667E-4</v>
      </c>
    </row>
    <row r="87" spans="1:10" x14ac:dyDescent="0.35">
      <c r="A87" s="10" t="s">
        <v>245</v>
      </c>
      <c r="B87">
        <v>75</v>
      </c>
      <c r="C87">
        <v>0</v>
      </c>
      <c r="D87">
        <v>0</v>
      </c>
      <c r="E87">
        <v>0</v>
      </c>
      <c r="F87">
        <v>0.1</v>
      </c>
      <c r="G87">
        <v>0</v>
      </c>
      <c r="H87" s="4">
        <v>2.9282407407407408E-3</v>
      </c>
      <c r="I87" s="4">
        <v>1.1574074074074073E-5</v>
      </c>
      <c r="J87" s="4">
        <v>1.0416666666666667E-4</v>
      </c>
    </row>
    <row r="88" spans="1:10" x14ac:dyDescent="0.35">
      <c r="A88" s="13" t="s">
        <v>246</v>
      </c>
      <c r="B88">
        <v>43</v>
      </c>
      <c r="C88">
        <v>0</v>
      </c>
      <c r="D88">
        <v>0</v>
      </c>
      <c r="E88">
        <v>0</v>
      </c>
      <c r="F88">
        <v>0.1</v>
      </c>
      <c r="G88">
        <v>0</v>
      </c>
      <c r="H88" s="4">
        <v>2.9282407407407408E-3</v>
      </c>
      <c r="I88" s="4">
        <v>1.1574074074074073E-5</v>
      </c>
      <c r="J88" s="4">
        <v>1.0416666666666667E-4</v>
      </c>
    </row>
    <row r="89" spans="1:10" x14ac:dyDescent="0.35">
      <c r="A89" s="10" t="s">
        <v>247</v>
      </c>
      <c r="B89">
        <v>33</v>
      </c>
      <c r="C89">
        <v>0</v>
      </c>
      <c r="D89">
        <v>0</v>
      </c>
      <c r="E89">
        <v>0</v>
      </c>
      <c r="F89">
        <v>0.1</v>
      </c>
      <c r="G89">
        <v>0</v>
      </c>
      <c r="H89" s="4">
        <v>2.9282407407407408E-3</v>
      </c>
      <c r="I89" s="4">
        <v>1.1574074074074073E-5</v>
      </c>
      <c r="J89" s="4">
        <v>1.0416666666666667E-4</v>
      </c>
    </row>
    <row r="90" spans="1:10" x14ac:dyDescent="0.35">
      <c r="A90" s="13" t="s">
        <v>248</v>
      </c>
      <c r="B90">
        <v>37</v>
      </c>
      <c r="C90">
        <v>0</v>
      </c>
      <c r="D90">
        <v>0</v>
      </c>
      <c r="E90">
        <v>0</v>
      </c>
      <c r="F90">
        <v>0.1</v>
      </c>
      <c r="G90">
        <v>0</v>
      </c>
      <c r="H90" s="4">
        <v>2.9282407407407408E-3</v>
      </c>
      <c r="I90" s="4">
        <v>1.1574074074074073E-5</v>
      </c>
      <c r="J90" s="4">
        <v>1.0416666666666667E-4</v>
      </c>
    </row>
    <row r="91" spans="1:10" x14ac:dyDescent="0.35">
      <c r="A91" s="10" t="s">
        <v>249</v>
      </c>
      <c r="B91">
        <v>41</v>
      </c>
      <c r="C91">
        <v>0</v>
      </c>
      <c r="D91">
        <v>0</v>
      </c>
      <c r="E91">
        <v>0</v>
      </c>
      <c r="F91">
        <v>0.1</v>
      </c>
      <c r="G91">
        <v>0</v>
      </c>
      <c r="H91" s="4">
        <v>2.9282407407407408E-3</v>
      </c>
      <c r="I91" s="4">
        <v>1.1574074074074073E-5</v>
      </c>
      <c r="J91" s="4">
        <v>1.0416666666666667E-4</v>
      </c>
    </row>
    <row r="92" spans="1:10" x14ac:dyDescent="0.35">
      <c r="A92" s="13" t="s">
        <v>250</v>
      </c>
      <c r="B92">
        <v>57</v>
      </c>
      <c r="C92">
        <v>0</v>
      </c>
      <c r="D92">
        <v>0</v>
      </c>
      <c r="E92">
        <v>0</v>
      </c>
      <c r="F92">
        <v>0.1</v>
      </c>
      <c r="G92">
        <v>0</v>
      </c>
      <c r="H92" s="4">
        <v>2.9282407407407408E-3</v>
      </c>
      <c r="I92" s="4">
        <v>1.1574074074074073E-5</v>
      </c>
      <c r="J92" s="4">
        <v>1.0416666666666667E-4</v>
      </c>
    </row>
    <row r="93" spans="1:10" x14ac:dyDescent="0.35">
      <c r="A93" s="10" t="s">
        <v>251</v>
      </c>
      <c r="B93">
        <v>80</v>
      </c>
      <c r="C93">
        <v>0</v>
      </c>
      <c r="D93">
        <v>0</v>
      </c>
      <c r="E93">
        <v>0</v>
      </c>
      <c r="F93">
        <v>0.1</v>
      </c>
      <c r="G93">
        <v>0</v>
      </c>
      <c r="H93" s="4">
        <v>2.9282407407407408E-3</v>
      </c>
      <c r="I93" s="4">
        <v>1.1574074074074073E-5</v>
      </c>
      <c r="J93" s="4">
        <v>1.0416666666666667E-4</v>
      </c>
    </row>
    <row r="94" spans="1:10" x14ac:dyDescent="0.35">
      <c r="A94" s="13" t="s">
        <v>252</v>
      </c>
      <c r="B94">
        <v>29</v>
      </c>
      <c r="C94">
        <v>0</v>
      </c>
      <c r="D94">
        <v>0</v>
      </c>
      <c r="E94">
        <v>0</v>
      </c>
      <c r="F94">
        <v>0.1</v>
      </c>
      <c r="G94">
        <v>0</v>
      </c>
      <c r="H94" s="4">
        <v>2.9282407407407408E-3</v>
      </c>
      <c r="I94" s="4">
        <v>1.1574074074074073E-5</v>
      </c>
      <c r="J94" s="4">
        <v>1.0416666666666667E-4</v>
      </c>
    </row>
    <row r="95" spans="1:10" x14ac:dyDescent="0.35">
      <c r="A95" s="10" t="s">
        <v>253</v>
      </c>
      <c r="B95">
        <v>67</v>
      </c>
      <c r="C95">
        <v>0</v>
      </c>
      <c r="D95">
        <v>0</v>
      </c>
      <c r="E95">
        <v>0</v>
      </c>
      <c r="F95">
        <v>0.1</v>
      </c>
      <c r="G95">
        <v>0</v>
      </c>
      <c r="H95" s="4">
        <v>2.9282407407407408E-3</v>
      </c>
      <c r="I95" s="4">
        <v>1.1574074074074073E-5</v>
      </c>
      <c r="J95" s="4">
        <v>1.0416666666666667E-4</v>
      </c>
    </row>
    <row r="96" spans="1:10" x14ac:dyDescent="0.35">
      <c r="A96" s="13" t="s">
        <v>254</v>
      </c>
      <c r="B96">
        <v>74</v>
      </c>
      <c r="C96">
        <v>0</v>
      </c>
      <c r="D96">
        <v>0</v>
      </c>
      <c r="E96">
        <v>0</v>
      </c>
      <c r="F96">
        <v>0.1</v>
      </c>
      <c r="G96">
        <v>0</v>
      </c>
      <c r="H96" s="4">
        <v>2.9282407407407408E-3</v>
      </c>
      <c r="I96" s="4">
        <v>1.1574074074074073E-5</v>
      </c>
      <c r="J96" s="4">
        <v>1.0416666666666667E-4</v>
      </c>
    </row>
    <row r="97" spans="1:10" x14ac:dyDescent="0.35">
      <c r="A97" s="10" t="s">
        <v>255</v>
      </c>
      <c r="B97">
        <v>45</v>
      </c>
      <c r="C97">
        <v>0</v>
      </c>
      <c r="D97">
        <v>0</v>
      </c>
      <c r="E97">
        <v>0</v>
      </c>
      <c r="F97">
        <v>0.1</v>
      </c>
      <c r="G97">
        <v>0</v>
      </c>
      <c r="H97" s="4">
        <v>2.9282407407407408E-3</v>
      </c>
      <c r="I97" s="4">
        <v>1.1574074074074073E-5</v>
      </c>
      <c r="J97" s="4">
        <v>1.0416666666666667E-4</v>
      </c>
    </row>
    <row r="98" spans="1:10" x14ac:dyDescent="0.35">
      <c r="A98" s="13" t="s">
        <v>256</v>
      </c>
      <c r="B98">
        <v>91</v>
      </c>
      <c r="C98">
        <v>0</v>
      </c>
      <c r="D98">
        <v>0</v>
      </c>
      <c r="E98">
        <v>0</v>
      </c>
      <c r="F98">
        <v>0.1</v>
      </c>
      <c r="G98">
        <v>0</v>
      </c>
      <c r="H98" s="4">
        <v>2.9282407407407408E-3</v>
      </c>
      <c r="I98" s="4">
        <v>1.1574074074074073E-5</v>
      </c>
      <c r="J98" s="4">
        <v>1.0416666666666667E-4</v>
      </c>
    </row>
    <row r="99" spans="1:10" x14ac:dyDescent="0.35">
      <c r="A99" s="10" t="s">
        <v>257</v>
      </c>
      <c r="B99">
        <v>22</v>
      </c>
      <c r="C99">
        <v>0</v>
      </c>
      <c r="D99">
        <v>0</v>
      </c>
      <c r="E99">
        <v>0</v>
      </c>
      <c r="F99">
        <v>0.1</v>
      </c>
      <c r="G99">
        <v>0</v>
      </c>
      <c r="H99" s="4">
        <v>2.9282407407407408E-3</v>
      </c>
      <c r="I99" s="4">
        <v>1.1574074074074073E-5</v>
      </c>
      <c r="J99" s="4">
        <v>1.0416666666666667E-4</v>
      </c>
    </row>
    <row r="100" spans="1:10" x14ac:dyDescent="0.35">
      <c r="A100" s="13" t="s">
        <v>258</v>
      </c>
      <c r="B100">
        <v>96</v>
      </c>
      <c r="C100">
        <v>0</v>
      </c>
      <c r="D100">
        <v>0</v>
      </c>
      <c r="E100">
        <v>0</v>
      </c>
      <c r="F100">
        <v>0.1</v>
      </c>
      <c r="G100">
        <v>0</v>
      </c>
      <c r="H100" s="4">
        <v>2.9282407407407408E-3</v>
      </c>
      <c r="I100" s="4">
        <v>1.1574074074074073E-5</v>
      </c>
      <c r="J100" s="4">
        <v>1.0416666666666667E-4</v>
      </c>
    </row>
    <row r="101" spans="1:10" x14ac:dyDescent="0.35">
      <c r="A101" s="10" t="s">
        <v>259</v>
      </c>
      <c r="B101">
        <v>49</v>
      </c>
      <c r="C101">
        <v>0</v>
      </c>
      <c r="D101">
        <v>0</v>
      </c>
      <c r="E101">
        <v>0</v>
      </c>
      <c r="F101">
        <v>0.1</v>
      </c>
      <c r="G101">
        <v>0</v>
      </c>
      <c r="H101" s="4">
        <v>2.9282407407407408E-3</v>
      </c>
      <c r="I101" s="4">
        <v>1.1574074074074073E-5</v>
      </c>
      <c r="J101" s="4">
        <v>1.0416666666666667E-4</v>
      </c>
    </row>
    <row r="102" spans="1:10" x14ac:dyDescent="0.35">
      <c r="A102" s="13" t="s">
        <v>260</v>
      </c>
      <c r="B102">
        <v>36</v>
      </c>
      <c r="C102">
        <v>0</v>
      </c>
      <c r="D102">
        <v>0</v>
      </c>
      <c r="E102">
        <v>0</v>
      </c>
      <c r="F102">
        <v>0.1</v>
      </c>
      <c r="G102">
        <v>0</v>
      </c>
      <c r="H102" s="4">
        <v>2.9282407407407408E-3</v>
      </c>
      <c r="I102" s="4">
        <v>1.1574074074074073E-5</v>
      </c>
      <c r="J102" s="4">
        <v>1.0416666666666667E-4</v>
      </c>
    </row>
    <row r="103" spans="1:10" x14ac:dyDescent="0.35">
      <c r="A103" s="10" t="s">
        <v>261</v>
      </c>
      <c r="B103">
        <v>40</v>
      </c>
      <c r="C103">
        <v>0</v>
      </c>
      <c r="D103">
        <v>0</v>
      </c>
      <c r="E103">
        <v>0</v>
      </c>
      <c r="F103">
        <v>0.1</v>
      </c>
      <c r="G103">
        <v>0</v>
      </c>
      <c r="H103" s="4">
        <v>2.9282407407407408E-3</v>
      </c>
      <c r="I103" s="4">
        <v>1.1574074074074073E-5</v>
      </c>
      <c r="J103" s="4">
        <v>1.0416666666666667E-4</v>
      </c>
    </row>
    <row r="104" spans="1:10" x14ac:dyDescent="0.35">
      <c r="A104" s="13" t="s">
        <v>262</v>
      </c>
      <c r="B104">
        <v>37</v>
      </c>
      <c r="C104">
        <v>0</v>
      </c>
      <c r="D104">
        <v>0</v>
      </c>
      <c r="E104">
        <v>0</v>
      </c>
      <c r="F104">
        <v>0.1</v>
      </c>
      <c r="G104">
        <v>0</v>
      </c>
      <c r="H104" s="4">
        <v>2.9282407407407408E-3</v>
      </c>
      <c r="I104" s="4">
        <v>1.1574074074074073E-5</v>
      </c>
      <c r="J104" s="4">
        <v>1.0416666666666667E-4</v>
      </c>
    </row>
    <row r="105" spans="1:10" x14ac:dyDescent="0.35">
      <c r="A105" s="10" t="s">
        <v>263</v>
      </c>
      <c r="B105">
        <v>91</v>
      </c>
      <c r="C105">
        <v>0</v>
      </c>
      <c r="D105">
        <v>0</v>
      </c>
      <c r="E105">
        <v>0</v>
      </c>
      <c r="F105">
        <v>0.1</v>
      </c>
      <c r="G105">
        <v>0</v>
      </c>
      <c r="H105" s="4">
        <v>2.9282407407407408E-3</v>
      </c>
      <c r="I105" s="4">
        <v>1.1574074074074073E-5</v>
      </c>
      <c r="J105" s="4">
        <v>1.0416666666666667E-4</v>
      </c>
    </row>
    <row r="106" spans="1:10" x14ac:dyDescent="0.35">
      <c r="A106" s="13" t="s">
        <v>264</v>
      </c>
      <c r="B106">
        <v>89</v>
      </c>
      <c r="C106">
        <v>0</v>
      </c>
      <c r="D106">
        <v>0</v>
      </c>
      <c r="E106">
        <v>0</v>
      </c>
      <c r="F106">
        <v>0.1</v>
      </c>
      <c r="G106">
        <v>0</v>
      </c>
      <c r="H106" s="4">
        <v>2.9282407407407408E-3</v>
      </c>
      <c r="I106" s="4">
        <v>1.1574074074074073E-5</v>
      </c>
      <c r="J106" s="4">
        <v>1.0416666666666667E-4</v>
      </c>
    </row>
    <row r="107" spans="1:10" x14ac:dyDescent="0.35">
      <c r="A107" s="10" t="s">
        <v>265</v>
      </c>
      <c r="B107">
        <v>80</v>
      </c>
      <c r="C107">
        <v>0</v>
      </c>
      <c r="D107">
        <v>0</v>
      </c>
      <c r="E107">
        <v>0</v>
      </c>
      <c r="F107">
        <v>0.1</v>
      </c>
      <c r="G107">
        <v>0</v>
      </c>
      <c r="H107" s="4">
        <v>2.9282407407407408E-3</v>
      </c>
      <c r="I107" s="4">
        <v>1.1574074074074073E-5</v>
      </c>
      <c r="J107" s="4">
        <v>1.0416666666666667E-4</v>
      </c>
    </row>
    <row r="108" spans="1:10" x14ac:dyDescent="0.35">
      <c r="A108" s="13" t="s">
        <v>266</v>
      </c>
      <c r="B108">
        <v>29</v>
      </c>
      <c r="C108">
        <v>0</v>
      </c>
      <c r="D108">
        <v>0</v>
      </c>
      <c r="E108">
        <v>0</v>
      </c>
      <c r="F108">
        <v>0.1</v>
      </c>
      <c r="G108">
        <v>0</v>
      </c>
      <c r="H108" s="4">
        <v>2.9282407407407408E-3</v>
      </c>
      <c r="I108" s="4">
        <v>1.1574074074074073E-5</v>
      </c>
      <c r="J108" s="4">
        <v>1.0416666666666667E-4</v>
      </c>
    </row>
    <row r="109" spans="1:10" x14ac:dyDescent="0.35">
      <c r="A109" s="10" t="s">
        <v>267</v>
      </c>
      <c r="B109">
        <v>47</v>
      </c>
      <c r="C109">
        <v>0</v>
      </c>
      <c r="D109">
        <v>0</v>
      </c>
      <c r="E109">
        <v>0</v>
      </c>
      <c r="F109">
        <v>0.1</v>
      </c>
      <c r="G109">
        <v>0</v>
      </c>
      <c r="H109" s="4">
        <v>2.9282407407407408E-3</v>
      </c>
      <c r="I109" s="4">
        <v>1.1574074074074073E-5</v>
      </c>
      <c r="J109" s="4">
        <v>1.0416666666666667E-4</v>
      </c>
    </row>
    <row r="110" spans="1:10" x14ac:dyDescent="0.35">
      <c r="A110" s="13" t="s">
        <v>268</v>
      </c>
      <c r="B110">
        <v>90</v>
      </c>
      <c r="C110">
        <v>0</v>
      </c>
      <c r="D110">
        <v>0</v>
      </c>
      <c r="E110">
        <v>0</v>
      </c>
      <c r="F110">
        <v>0.1</v>
      </c>
      <c r="G110">
        <v>0</v>
      </c>
      <c r="H110" s="4">
        <v>2.9282407407407408E-3</v>
      </c>
      <c r="I110" s="4">
        <v>1.1574074074074073E-5</v>
      </c>
      <c r="J110" s="4">
        <v>1.0416666666666667E-4</v>
      </c>
    </row>
    <row r="111" spans="1:10" x14ac:dyDescent="0.35">
      <c r="A111" s="10" t="s">
        <v>269</v>
      </c>
      <c r="B111">
        <v>27</v>
      </c>
      <c r="C111">
        <v>0</v>
      </c>
      <c r="D111">
        <v>0</v>
      </c>
      <c r="E111">
        <v>0</v>
      </c>
      <c r="F111">
        <v>0.1</v>
      </c>
      <c r="G111">
        <v>0</v>
      </c>
      <c r="H111" s="4">
        <v>2.9282407407407408E-3</v>
      </c>
      <c r="I111" s="4">
        <v>1.1574074074074073E-5</v>
      </c>
      <c r="J111" s="4">
        <v>1.0416666666666667E-4</v>
      </c>
    </row>
    <row r="112" spans="1:10" x14ac:dyDescent="0.35">
      <c r="A112" s="13" t="s">
        <v>270</v>
      </c>
      <c r="B112">
        <v>96</v>
      </c>
      <c r="C112">
        <v>0</v>
      </c>
      <c r="D112">
        <v>0</v>
      </c>
      <c r="E112">
        <v>0</v>
      </c>
      <c r="F112">
        <v>0.1</v>
      </c>
      <c r="G112">
        <v>0</v>
      </c>
      <c r="H112" s="4">
        <v>2.9282407407407408E-3</v>
      </c>
      <c r="I112" s="4">
        <v>1.1574074074074073E-5</v>
      </c>
      <c r="J112" s="4">
        <v>1.0416666666666667E-4</v>
      </c>
    </row>
    <row r="113" spans="1:10" x14ac:dyDescent="0.35">
      <c r="A113" s="10" t="s">
        <v>271</v>
      </c>
      <c r="B113">
        <v>58</v>
      </c>
      <c r="C113">
        <v>0</v>
      </c>
      <c r="D113">
        <v>0</v>
      </c>
      <c r="E113">
        <v>0</v>
      </c>
      <c r="F113">
        <v>0.1</v>
      </c>
      <c r="G113">
        <v>0</v>
      </c>
      <c r="H113" s="4">
        <v>2.9282407407407408E-3</v>
      </c>
      <c r="I113" s="4">
        <v>1.1574074074074073E-5</v>
      </c>
      <c r="J113" s="4">
        <v>1.0416666666666667E-4</v>
      </c>
    </row>
    <row r="114" spans="1:10" x14ac:dyDescent="0.35">
      <c r="A114" s="13" t="s">
        <v>272</v>
      </c>
      <c r="B114">
        <v>64</v>
      </c>
      <c r="C114">
        <v>0</v>
      </c>
      <c r="D114">
        <v>0</v>
      </c>
      <c r="E114">
        <v>0</v>
      </c>
      <c r="F114">
        <v>0.1</v>
      </c>
      <c r="G114">
        <v>0</v>
      </c>
      <c r="H114" s="4">
        <v>2.9282407407407408E-3</v>
      </c>
      <c r="I114" s="4">
        <v>1.1574074074074073E-5</v>
      </c>
      <c r="J114" s="4">
        <v>1.0416666666666667E-4</v>
      </c>
    </row>
    <row r="115" spans="1:10" x14ac:dyDescent="0.35">
      <c r="A115" s="10" t="s">
        <v>273</v>
      </c>
      <c r="B115">
        <v>55</v>
      </c>
      <c r="C115">
        <v>0</v>
      </c>
      <c r="D115">
        <v>0</v>
      </c>
      <c r="E115">
        <v>0</v>
      </c>
      <c r="F115">
        <v>0.1</v>
      </c>
      <c r="G115">
        <v>0</v>
      </c>
      <c r="H115" s="4">
        <v>2.9282407407407408E-3</v>
      </c>
      <c r="I115" s="4">
        <v>1.1574074074074073E-5</v>
      </c>
      <c r="J115" s="4">
        <v>1.0416666666666667E-4</v>
      </c>
    </row>
    <row r="116" spans="1:10" x14ac:dyDescent="0.35">
      <c r="A116" s="13" t="s">
        <v>274</v>
      </c>
      <c r="B116">
        <v>67</v>
      </c>
      <c r="C116">
        <v>0</v>
      </c>
      <c r="D116">
        <v>0</v>
      </c>
      <c r="E116">
        <v>0</v>
      </c>
      <c r="F116">
        <v>0.1</v>
      </c>
      <c r="G116">
        <v>0</v>
      </c>
      <c r="H116" s="4">
        <v>2.9282407407407408E-3</v>
      </c>
      <c r="I116" s="4">
        <v>1.1574074074074073E-5</v>
      </c>
      <c r="J116" s="4">
        <v>1.0416666666666667E-4</v>
      </c>
    </row>
    <row r="117" spans="1:10" x14ac:dyDescent="0.35">
      <c r="A117" s="10" t="s">
        <v>275</v>
      </c>
      <c r="B117">
        <v>48</v>
      </c>
      <c r="C117">
        <v>0</v>
      </c>
      <c r="D117">
        <v>0</v>
      </c>
      <c r="E117">
        <v>0</v>
      </c>
      <c r="F117">
        <v>0.1</v>
      </c>
      <c r="G117">
        <v>0</v>
      </c>
      <c r="H117" s="4">
        <v>2.9282407407407408E-3</v>
      </c>
      <c r="I117" s="4">
        <v>1.1574074074074073E-5</v>
      </c>
      <c r="J117" s="4">
        <v>1.0416666666666667E-4</v>
      </c>
    </row>
    <row r="118" spans="1:10" x14ac:dyDescent="0.35">
      <c r="A118" s="13" t="s">
        <v>276</v>
      </c>
      <c r="B118">
        <v>62</v>
      </c>
      <c r="C118">
        <v>0</v>
      </c>
      <c r="D118">
        <v>0</v>
      </c>
      <c r="E118">
        <v>0</v>
      </c>
      <c r="F118">
        <v>0.1</v>
      </c>
      <c r="G118">
        <v>0</v>
      </c>
      <c r="H118" s="4">
        <v>2.9282407407407408E-3</v>
      </c>
      <c r="I118" s="4">
        <v>1.1574074074074073E-5</v>
      </c>
      <c r="J118" s="4">
        <v>1.0416666666666667E-4</v>
      </c>
    </row>
    <row r="119" spans="1:10" x14ac:dyDescent="0.35">
      <c r="A119" s="10" t="s">
        <v>277</v>
      </c>
      <c r="B119">
        <v>56</v>
      </c>
      <c r="C119">
        <v>0</v>
      </c>
      <c r="D119">
        <v>0</v>
      </c>
      <c r="E119">
        <v>0</v>
      </c>
      <c r="F119">
        <v>0.1</v>
      </c>
      <c r="G119">
        <v>0</v>
      </c>
      <c r="H119" s="4">
        <v>2.9282407407407408E-3</v>
      </c>
      <c r="I119" s="4">
        <v>1.1574074074074073E-5</v>
      </c>
      <c r="J119" s="4">
        <v>1.0416666666666667E-4</v>
      </c>
    </row>
    <row r="120" spans="1:10" x14ac:dyDescent="0.35">
      <c r="A120" s="13" t="s">
        <v>278</v>
      </c>
      <c r="B120">
        <v>42</v>
      </c>
      <c r="C120">
        <v>0</v>
      </c>
      <c r="D120">
        <v>0</v>
      </c>
      <c r="E120">
        <v>0</v>
      </c>
      <c r="F120">
        <v>0.1</v>
      </c>
      <c r="G120">
        <v>0</v>
      </c>
      <c r="H120" s="4">
        <v>2.9282407407407408E-3</v>
      </c>
      <c r="I120" s="4">
        <v>1.1574074074074073E-5</v>
      </c>
      <c r="J120" s="4">
        <v>1.0416666666666667E-4</v>
      </c>
    </row>
    <row r="121" spans="1:10" x14ac:dyDescent="0.35">
      <c r="A121" s="10" t="s">
        <v>279</v>
      </c>
      <c r="B121">
        <v>89</v>
      </c>
      <c r="C121">
        <v>0</v>
      </c>
      <c r="D121">
        <v>0</v>
      </c>
      <c r="E121">
        <v>0</v>
      </c>
      <c r="F121">
        <v>0.1</v>
      </c>
      <c r="G121">
        <v>0</v>
      </c>
      <c r="H121" s="4">
        <v>2.9282407407407408E-3</v>
      </c>
      <c r="I121" s="4">
        <v>1.1574074074074073E-5</v>
      </c>
      <c r="J121" s="4">
        <v>1.0416666666666667E-4</v>
      </c>
    </row>
    <row r="122" spans="1:10" x14ac:dyDescent="0.35">
      <c r="A122" s="13" t="s">
        <v>280</v>
      </c>
      <c r="B122">
        <v>88</v>
      </c>
      <c r="C122">
        <v>0</v>
      </c>
      <c r="D122">
        <v>0</v>
      </c>
      <c r="E122">
        <v>0</v>
      </c>
      <c r="F122">
        <v>0.1</v>
      </c>
      <c r="G122">
        <v>0</v>
      </c>
      <c r="H122" s="4">
        <v>2.9282407407407408E-3</v>
      </c>
      <c r="I122" s="4">
        <v>1.1574074074074073E-5</v>
      </c>
      <c r="J122" s="4">
        <v>1.0416666666666667E-4</v>
      </c>
    </row>
    <row r="123" spans="1:10" x14ac:dyDescent="0.35">
      <c r="A123" s="10" t="s">
        <v>281</v>
      </c>
      <c r="B123">
        <v>24</v>
      </c>
      <c r="C123">
        <v>0</v>
      </c>
      <c r="D123">
        <v>0</v>
      </c>
      <c r="E123">
        <v>0</v>
      </c>
      <c r="F123">
        <v>0.1</v>
      </c>
      <c r="G123">
        <v>0</v>
      </c>
      <c r="H123" s="4">
        <v>2.9282407407407408E-3</v>
      </c>
      <c r="I123" s="4">
        <v>1.1574074074074073E-5</v>
      </c>
      <c r="J123" s="4">
        <v>1.0416666666666667E-4</v>
      </c>
    </row>
    <row r="124" spans="1:10" x14ac:dyDescent="0.35">
      <c r="A124" s="13" t="s">
        <v>282</v>
      </c>
      <c r="B124">
        <v>85</v>
      </c>
      <c r="C124">
        <v>0</v>
      </c>
      <c r="D124">
        <v>0</v>
      </c>
      <c r="E124">
        <v>0</v>
      </c>
      <c r="F124">
        <v>0.1</v>
      </c>
      <c r="G124">
        <v>0</v>
      </c>
      <c r="H124" s="4">
        <v>2.9282407407407408E-3</v>
      </c>
      <c r="I124" s="4">
        <v>1.1574074074074073E-5</v>
      </c>
      <c r="J124" s="4">
        <v>1.0416666666666667E-4</v>
      </c>
    </row>
    <row r="125" spans="1:10" x14ac:dyDescent="0.35">
      <c r="A125" s="10" t="s">
        <v>283</v>
      </c>
      <c r="B125">
        <v>27</v>
      </c>
      <c r="C125">
        <v>0</v>
      </c>
      <c r="D125">
        <v>0</v>
      </c>
      <c r="E125">
        <v>0</v>
      </c>
      <c r="F125">
        <v>0.1</v>
      </c>
      <c r="G125">
        <v>0</v>
      </c>
      <c r="H125" s="4">
        <v>2.9282407407407408E-3</v>
      </c>
      <c r="I125" s="4">
        <v>1.1574074074074073E-5</v>
      </c>
      <c r="J125" s="4">
        <v>1.0416666666666667E-4</v>
      </c>
    </row>
    <row r="126" spans="1:10" x14ac:dyDescent="0.35">
      <c r="A126" s="13" t="s">
        <v>284</v>
      </c>
      <c r="B126">
        <v>40</v>
      </c>
      <c r="C126">
        <v>0</v>
      </c>
      <c r="D126">
        <v>0</v>
      </c>
      <c r="E126">
        <v>0</v>
      </c>
      <c r="F126">
        <v>0.1</v>
      </c>
      <c r="G126">
        <v>0</v>
      </c>
      <c r="H126" s="4">
        <v>2.9282407407407408E-3</v>
      </c>
      <c r="I126" s="4">
        <v>1.1574074074074073E-5</v>
      </c>
      <c r="J126" s="4">
        <v>1.0416666666666667E-4</v>
      </c>
    </row>
    <row r="127" spans="1:10" x14ac:dyDescent="0.35">
      <c r="A127" s="10" t="s">
        <v>285</v>
      </c>
      <c r="B127">
        <v>58</v>
      </c>
      <c r="C127">
        <v>0</v>
      </c>
      <c r="D127">
        <v>0</v>
      </c>
      <c r="E127">
        <v>0</v>
      </c>
      <c r="F127">
        <v>0.1</v>
      </c>
      <c r="G127">
        <v>0</v>
      </c>
      <c r="H127" s="4">
        <v>2.9282407407407408E-3</v>
      </c>
      <c r="I127" s="4">
        <v>1.1574074074074073E-5</v>
      </c>
      <c r="J127" s="4">
        <v>1.0416666666666667E-4</v>
      </c>
    </row>
    <row r="128" spans="1:10" x14ac:dyDescent="0.35">
      <c r="A128" s="13" t="s">
        <v>286</v>
      </c>
      <c r="B128">
        <v>62</v>
      </c>
      <c r="C128">
        <v>0</v>
      </c>
      <c r="D128">
        <v>0</v>
      </c>
      <c r="E128">
        <v>0</v>
      </c>
      <c r="F128">
        <v>0.1</v>
      </c>
      <c r="G128">
        <v>0</v>
      </c>
      <c r="H128" s="4">
        <v>2.9282407407407408E-3</v>
      </c>
      <c r="I128" s="4">
        <v>1.1574074074074073E-5</v>
      </c>
      <c r="J128" s="4">
        <v>1.0416666666666667E-4</v>
      </c>
    </row>
    <row r="129" spans="1:10" x14ac:dyDescent="0.35">
      <c r="A129" s="10" t="s">
        <v>287</v>
      </c>
      <c r="B129">
        <v>28</v>
      </c>
      <c r="C129">
        <v>0</v>
      </c>
      <c r="D129">
        <v>0</v>
      </c>
      <c r="E129">
        <v>0</v>
      </c>
      <c r="F129">
        <v>0.1</v>
      </c>
      <c r="G129">
        <v>0</v>
      </c>
      <c r="H129" s="4">
        <v>2.9282407407407408E-3</v>
      </c>
      <c r="I129" s="4">
        <v>1.1574074074074073E-5</v>
      </c>
      <c r="J129" s="4">
        <v>1.0416666666666667E-4</v>
      </c>
    </row>
    <row r="130" spans="1:10" x14ac:dyDescent="0.35">
      <c r="A130" s="13" t="s">
        <v>288</v>
      </c>
      <c r="B130">
        <v>75</v>
      </c>
      <c r="C130">
        <v>0</v>
      </c>
      <c r="D130">
        <v>0</v>
      </c>
      <c r="E130">
        <v>0</v>
      </c>
      <c r="F130">
        <v>0.1</v>
      </c>
      <c r="G130">
        <v>0</v>
      </c>
      <c r="H130" s="4">
        <v>2.9282407407407408E-3</v>
      </c>
      <c r="I130" s="4">
        <v>1.1574074074074073E-5</v>
      </c>
      <c r="J130" s="4">
        <v>1.0416666666666667E-4</v>
      </c>
    </row>
    <row r="131" spans="1:10" x14ac:dyDescent="0.35">
      <c r="A131" s="10" t="s">
        <v>289</v>
      </c>
      <c r="B131">
        <v>71</v>
      </c>
      <c r="C131">
        <v>0</v>
      </c>
      <c r="D131">
        <v>0</v>
      </c>
      <c r="E131">
        <v>0</v>
      </c>
      <c r="F131">
        <v>0.1</v>
      </c>
      <c r="G131">
        <v>0</v>
      </c>
      <c r="H131" s="4">
        <v>2.9282407407407408E-3</v>
      </c>
      <c r="I131" s="4">
        <v>1.1574074074074073E-5</v>
      </c>
      <c r="J131" s="4">
        <v>1.0416666666666667E-4</v>
      </c>
    </row>
    <row r="132" spans="1:10" x14ac:dyDescent="0.35">
      <c r="A132" s="13" t="s">
        <v>290</v>
      </c>
      <c r="B132">
        <v>24</v>
      </c>
      <c r="C132">
        <v>0</v>
      </c>
      <c r="D132">
        <v>0</v>
      </c>
      <c r="E132">
        <v>0</v>
      </c>
      <c r="F132">
        <v>0.1</v>
      </c>
      <c r="G132">
        <v>0</v>
      </c>
      <c r="H132" s="4">
        <v>2.9282407407407408E-3</v>
      </c>
      <c r="I132" s="4">
        <v>1.1574074074074073E-5</v>
      </c>
      <c r="J132" s="4">
        <v>1.0416666666666667E-4</v>
      </c>
    </row>
    <row r="133" spans="1:10" x14ac:dyDescent="0.35">
      <c r="A133" s="10" t="s">
        <v>291</v>
      </c>
      <c r="B133">
        <v>20</v>
      </c>
      <c r="C133">
        <v>0</v>
      </c>
      <c r="D133">
        <v>0</v>
      </c>
      <c r="E133">
        <v>0</v>
      </c>
      <c r="F133">
        <v>0.1</v>
      </c>
      <c r="G133">
        <v>0</v>
      </c>
      <c r="H133" s="4">
        <v>2.9282407407407408E-3</v>
      </c>
      <c r="I133" s="4">
        <v>1.1574074074074073E-5</v>
      </c>
      <c r="J133" s="4">
        <v>1.0416666666666667E-4</v>
      </c>
    </row>
    <row r="134" spans="1:10" x14ac:dyDescent="0.35">
      <c r="A134" s="13" t="s">
        <v>292</v>
      </c>
      <c r="B134">
        <v>60</v>
      </c>
      <c r="C134">
        <v>0</v>
      </c>
      <c r="D134">
        <v>0</v>
      </c>
      <c r="E134">
        <v>0</v>
      </c>
      <c r="F134">
        <v>0.1</v>
      </c>
      <c r="G134">
        <v>0</v>
      </c>
      <c r="H134" s="4">
        <v>2.9282407407407408E-3</v>
      </c>
      <c r="I134" s="4">
        <v>1.1574074074074073E-5</v>
      </c>
      <c r="J134" s="4">
        <v>1.0416666666666667E-4</v>
      </c>
    </row>
    <row r="135" spans="1:10" x14ac:dyDescent="0.35">
      <c r="A135" s="10" t="s">
        <v>293</v>
      </c>
      <c r="B135">
        <v>46</v>
      </c>
      <c r="C135">
        <v>0</v>
      </c>
      <c r="D135">
        <v>0</v>
      </c>
      <c r="E135">
        <v>0</v>
      </c>
      <c r="F135">
        <v>0.1</v>
      </c>
      <c r="G135">
        <v>0</v>
      </c>
      <c r="H135" s="4">
        <v>2.9282407407407408E-3</v>
      </c>
      <c r="I135" s="4">
        <v>1.1574074074074073E-5</v>
      </c>
      <c r="J135" s="4">
        <v>1.0416666666666667E-4</v>
      </c>
    </row>
    <row r="136" spans="1:10" x14ac:dyDescent="0.35">
      <c r="A136" s="13" t="s">
        <v>294</v>
      </c>
      <c r="B136">
        <v>55</v>
      </c>
      <c r="C136">
        <v>0</v>
      </c>
      <c r="D136">
        <v>0</v>
      </c>
      <c r="E136">
        <v>0</v>
      </c>
      <c r="F136">
        <v>0.1</v>
      </c>
      <c r="G136">
        <v>0</v>
      </c>
      <c r="H136" s="4">
        <v>2.9282407407407408E-3</v>
      </c>
      <c r="I136" s="4">
        <v>1.1574074074074073E-5</v>
      </c>
      <c r="J136" s="4">
        <v>1.0416666666666667E-4</v>
      </c>
    </row>
    <row r="137" spans="1:10" x14ac:dyDescent="0.35">
      <c r="A137" s="10" t="s">
        <v>295</v>
      </c>
      <c r="B137">
        <v>41</v>
      </c>
      <c r="C137">
        <v>0</v>
      </c>
      <c r="D137">
        <v>0</v>
      </c>
      <c r="E137">
        <v>0</v>
      </c>
      <c r="F137">
        <v>0.1</v>
      </c>
      <c r="G137">
        <v>0</v>
      </c>
      <c r="H137" s="4">
        <v>2.9282407407407408E-3</v>
      </c>
      <c r="I137" s="4">
        <v>1.1574074074074073E-5</v>
      </c>
      <c r="J137" s="4">
        <v>1.0416666666666667E-4</v>
      </c>
    </row>
    <row r="138" spans="1:10" x14ac:dyDescent="0.35">
      <c r="A138" s="13" t="s">
        <v>296</v>
      </c>
      <c r="B138">
        <v>65</v>
      </c>
      <c r="C138">
        <v>0</v>
      </c>
      <c r="D138">
        <v>0</v>
      </c>
      <c r="E138">
        <v>0</v>
      </c>
      <c r="F138">
        <v>0.1</v>
      </c>
      <c r="G138">
        <v>0</v>
      </c>
      <c r="H138" s="4">
        <v>2.9282407407407408E-3</v>
      </c>
      <c r="I138" s="4">
        <v>1.1574074074074073E-5</v>
      </c>
      <c r="J138" s="4">
        <v>1.0416666666666667E-4</v>
      </c>
    </row>
    <row r="139" spans="1:10" x14ac:dyDescent="0.35">
      <c r="A139" s="10" t="s">
        <v>297</v>
      </c>
      <c r="B139">
        <v>60</v>
      </c>
      <c r="C139">
        <v>0</v>
      </c>
      <c r="D139">
        <v>0</v>
      </c>
      <c r="E139">
        <v>0</v>
      </c>
      <c r="F139">
        <v>0.1</v>
      </c>
      <c r="G139">
        <v>0</v>
      </c>
      <c r="H139" s="4">
        <v>2.9282407407407408E-3</v>
      </c>
      <c r="I139" s="4">
        <v>1.1574074074074073E-5</v>
      </c>
      <c r="J139" s="4">
        <v>1.0416666666666667E-4</v>
      </c>
    </row>
    <row r="140" spans="1:10" x14ac:dyDescent="0.35">
      <c r="A140" s="13" t="s">
        <v>298</v>
      </c>
      <c r="B140">
        <v>64</v>
      </c>
      <c r="C140">
        <v>0</v>
      </c>
      <c r="D140">
        <v>0</v>
      </c>
      <c r="E140">
        <v>0</v>
      </c>
      <c r="F140">
        <v>0.1</v>
      </c>
      <c r="G140">
        <v>0</v>
      </c>
      <c r="H140" s="4">
        <v>2.9282407407407408E-3</v>
      </c>
      <c r="I140" s="4">
        <v>1.1574074074074073E-5</v>
      </c>
      <c r="J140" s="4">
        <v>1.0416666666666667E-4</v>
      </c>
    </row>
    <row r="141" spans="1:10" x14ac:dyDescent="0.35">
      <c r="A141" s="10" t="s">
        <v>299</v>
      </c>
      <c r="B141">
        <v>50</v>
      </c>
      <c r="C141">
        <v>0</v>
      </c>
      <c r="D141">
        <v>0</v>
      </c>
      <c r="E141">
        <v>0</v>
      </c>
      <c r="F141">
        <v>0.1</v>
      </c>
      <c r="G141">
        <v>0</v>
      </c>
      <c r="H141" s="4">
        <v>2.9282407407407408E-3</v>
      </c>
      <c r="I141" s="4">
        <v>1.1574074074074073E-5</v>
      </c>
      <c r="J141" s="4">
        <v>1.0416666666666667E-4</v>
      </c>
    </row>
    <row r="142" spans="1:10" x14ac:dyDescent="0.35">
      <c r="A142" s="13" t="s">
        <v>300</v>
      </c>
      <c r="B142">
        <v>23</v>
      </c>
      <c r="C142">
        <v>0</v>
      </c>
      <c r="D142">
        <v>0</v>
      </c>
      <c r="E142">
        <v>0</v>
      </c>
      <c r="F142">
        <v>0.1</v>
      </c>
      <c r="G142">
        <v>0</v>
      </c>
      <c r="H142" s="4">
        <v>2.9282407407407408E-3</v>
      </c>
      <c r="I142" s="4">
        <v>1.1574074074074073E-5</v>
      </c>
      <c r="J142" s="4">
        <v>1.0416666666666667E-4</v>
      </c>
    </row>
    <row r="143" spans="1:10" x14ac:dyDescent="0.35">
      <c r="A143" s="10" t="s">
        <v>301</v>
      </c>
      <c r="B143">
        <v>72</v>
      </c>
      <c r="C143">
        <v>0</v>
      </c>
      <c r="D143">
        <v>0</v>
      </c>
      <c r="E143">
        <v>0</v>
      </c>
      <c r="F143">
        <v>0.1</v>
      </c>
      <c r="G143">
        <v>0</v>
      </c>
      <c r="H143" s="4">
        <v>2.9282407407407408E-3</v>
      </c>
      <c r="I143" s="4">
        <v>1.1574074074074073E-5</v>
      </c>
      <c r="J143" s="4">
        <v>1.0416666666666667E-4</v>
      </c>
    </row>
    <row r="144" spans="1:10" x14ac:dyDescent="0.35">
      <c r="A144" s="13" t="s">
        <v>302</v>
      </c>
      <c r="B144">
        <v>49</v>
      </c>
      <c r="C144">
        <v>0</v>
      </c>
      <c r="D144">
        <v>0</v>
      </c>
      <c r="E144">
        <v>0</v>
      </c>
      <c r="F144">
        <v>0.1</v>
      </c>
      <c r="G144">
        <v>0</v>
      </c>
      <c r="H144" s="4">
        <v>2.9282407407407408E-3</v>
      </c>
      <c r="I144" s="4">
        <v>1.1574074074074073E-5</v>
      </c>
      <c r="J144" s="4">
        <v>1.0416666666666667E-4</v>
      </c>
    </row>
    <row r="145" spans="1:10" x14ac:dyDescent="0.35">
      <c r="A145" s="10" t="s">
        <v>303</v>
      </c>
      <c r="B145">
        <v>57</v>
      </c>
      <c r="C145">
        <v>0</v>
      </c>
      <c r="D145">
        <v>0</v>
      </c>
      <c r="E145">
        <v>0</v>
      </c>
      <c r="F145">
        <v>0.1</v>
      </c>
      <c r="G145">
        <v>0</v>
      </c>
      <c r="H145" s="4">
        <v>2.9282407407407408E-3</v>
      </c>
      <c r="I145" s="4">
        <v>1.1574074074074073E-5</v>
      </c>
      <c r="J145" s="4">
        <v>1.0416666666666667E-4</v>
      </c>
    </row>
    <row r="146" spans="1:10" x14ac:dyDescent="0.35">
      <c r="A146" s="13" t="s">
        <v>304</v>
      </c>
      <c r="B146">
        <v>74</v>
      </c>
      <c r="C146">
        <v>0</v>
      </c>
      <c r="D146">
        <v>0</v>
      </c>
      <c r="E146">
        <v>0</v>
      </c>
      <c r="F146">
        <v>0.1</v>
      </c>
      <c r="G146">
        <v>0</v>
      </c>
      <c r="H146" s="4">
        <v>2.9282407407407408E-3</v>
      </c>
      <c r="I146" s="4">
        <v>1.1574074074074073E-5</v>
      </c>
      <c r="J146" s="4">
        <v>1.0416666666666667E-4</v>
      </c>
    </row>
    <row r="147" spans="1:10" x14ac:dyDescent="0.35">
      <c r="A147" s="10" t="s">
        <v>305</v>
      </c>
      <c r="B147">
        <v>83</v>
      </c>
      <c r="C147">
        <v>0</v>
      </c>
      <c r="D147">
        <v>0</v>
      </c>
      <c r="E147">
        <v>0</v>
      </c>
      <c r="F147">
        <v>0.1</v>
      </c>
      <c r="G147">
        <v>0</v>
      </c>
      <c r="H147" s="4">
        <v>2.9282407407407408E-3</v>
      </c>
      <c r="I147" s="4">
        <v>1.1574074074074073E-5</v>
      </c>
      <c r="J147" s="4">
        <v>1.0416666666666667E-4</v>
      </c>
    </row>
    <row r="148" spans="1:10" x14ac:dyDescent="0.35">
      <c r="A148" s="13" t="s">
        <v>306</v>
      </c>
      <c r="B148">
        <v>34</v>
      </c>
      <c r="C148">
        <v>0</v>
      </c>
      <c r="D148">
        <v>0</v>
      </c>
      <c r="E148">
        <v>0</v>
      </c>
      <c r="F148">
        <v>0.1</v>
      </c>
      <c r="G148">
        <v>0</v>
      </c>
      <c r="H148" s="4">
        <v>2.9282407407407408E-3</v>
      </c>
      <c r="I148" s="4">
        <v>1.1574074074074073E-5</v>
      </c>
      <c r="J148" s="4">
        <v>1.0416666666666667E-4</v>
      </c>
    </row>
    <row r="149" spans="1:10" x14ac:dyDescent="0.35">
      <c r="A149" s="10" t="s">
        <v>307</v>
      </c>
      <c r="B149">
        <v>65</v>
      </c>
      <c r="C149">
        <v>0</v>
      </c>
      <c r="D149">
        <v>0</v>
      </c>
      <c r="E149">
        <v>0</v>
      </c>
      <c r="F149">
        <v>0.1</v>
      </c>
      <c r="G149">
        <v>0</v>
      </c>
      <c r="H149" s="4">
        <v>2.9282407407407408E-3</v>
      </c>
      <c r="I149" s="4">
        <v>1.1574074074074073E-5</v>
      </c>
      <c r="J149" s="4">
        <v>1.0416666666666667E-4</v>
      </c>
    </row>
    <row r="150" spans="1:10" x14ac:dyDescent="0.35">
      <c r="A150" s="13" t="s">
        <v>308</v>
      </c>
      <c r="B150">
        <v>48</v>
      </c>
      <c r="C150">
        <v>0</v>
      </c>
      <c r="D150">
        <v>0</v>
      </c>
      <c r="E150">
        <v>0</v>
      </c>
      <c r="F150">
        <v>0.1</v>
      </c>
      <c r="G150">
        <v>0</v>
      </c>
      <c r="H150" s="4">
        <v>2.9282407407407408E-3</v>
      </c>
      <c r="I150" s="4">
        <v>1.1574074074074073E-5</v>
      </c>
      <c r="J150" s="4">
        <v>1.0416666666666667E-4</v>
      </c>
    </row>
    <row r="151" spans="1:10" x14ac:dyDescent="0.35">
      <c r="A151" s="10" t="s">
        <v>309</v>
      </c>
      <c r="B151">
        <v>83</v>
      </c>
      <c r="C151">
        <v>0</v>
      </c>
      <c r="D151">
        <v>0</v>
      </c>
      <c r="E151">
        <v>0</v>
      </c>
      <c r="F151">
        <v>0.1</v>
      </c>
      <c r="G151">
        <v>0</v>
      </c>
      <c r="H151" s="4">
        <v>2.9282407407407408E-3</v>
      </c>
      <c r="I151" s="4">
        <v>1.1574074074074073E-5</v>
      </c>
      <c r="J151" s="4">
        <v>1.0416666666666667E-4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2A64E-E10B-4006-837D-3A1423CDC67A}">
  <sheetPr codeName="Sheet4"/>
  <dimension ref="A1:G151"/>
  <sheetViews>
    <sheetView zoomScaleNormal="100" workbookViewId="0"/>
  </sheetViews>
  <sheetFormatPr defaultRowHeight="14.5" x14ac:dyDescent="0.35"/>
  <cols>
    <col min="1" max="1" width="33.08984375" bestFit="1" customWidth="1"/>
    <col min="2" max="2" width="20.6328125" customWidth="1"/>
    <col min="3" max="3" width="22.6328125" style="18" bestFit="1" customWidth="1"/>
    <col min="4" max="4" width="15.54296875" customWidth="1"/>
    <col min="5" max="5" width="15.81640625" customWidth="1"/>
    <col min="6" max="6" width="13.6328125" customWidth="1"/>
    <col min="7" max="7" width="13.6328125" bestFit="1" customWidth="1"/>
  </cols>
  <sheetData>
    <row r="1" spans="1:7" x14ac:dyDescent="0.35">
      <c r="A1" s="16" t="s">
        <v>0</v>
      </c>
      <c r="B1" s="16" t="s">
        <v>318</v>
      </c>
      <c r="C1" s="17" t="s">
        <v>319</v>
      </c>
      <c r="D1" s="16" t="s">
        <v>320</v>
      </c>
      <c r="E1" s="16" t="s">
        <v>321</v>
      </c>
      <c r="F1" s="16" t="s">
        <v>322</v>
      </c>
      <c r="G1" s="16" t="s">
        <v>323</v>
      </c>
    </row>
    <row r="2" spans="1:7" x14ac:dyDescent="0.35">
      <c r="A2" t="str">
        <f>break!A2</f>
        <v>Mum_Abdul Hamid (1008512)</v>
      </c>
      <c r="B2" t="str">
        <f>MID(A2,FIND("_", A2,1)+1,FIND("(", A2)-FIND("_", A2)-2)</f>
        <v>Abdul Hamid</v>
      </c>
      <c r="C2" s="18">
        <f ca="1">TIME(RANDBETWEEN(6,9), RANDBETWEEN(0,59), 0)</f>
        <v>0.27499999999999997</v>
      </c>
      <c r="D2" s="18">
        <f t="shared" ref="D2:D33" si="0">VLOOKUP($A$2,EData,3,0)</f>
        <v>0.20693287037037036</v>
      </c>
      <c r="E2" t="str">
        <f t="shared" ref="E2:E33" si="1">VLOOKUP(TRIM(A2), BData, 9, 0)</f>
        <v>01:08:00</v>
      </c>
      <c r="F2">
        <f t="shared" ref="F2:F33" si="2">VLOOKUP($A$2,Pdata,2,0)</f>
        <v>98</v>
      </c>
      <c r="G2" s="19">
        <f>IFERROR(VLOOKUP(A5, Efficiency!$A$2:$G$150, 6, 0), 0)</f>
        <v>0.47720000000000001</v>
      </c>
    </row>
    <row r="3" spans="1:7" x14ac:dyDescent="0.35">
      <c r="A3" t="str">
        <f>break!A3</f>
        <v>Mum_Afzal Husain (1008513)</v>
      </c>
      <c r="B3" t="str">
        <f t="shared" ref="B3:B66" si="3">MID(A3,FIND("_", A3,1)+1,FIND("(", A3)-FIND("_", A3)-2)</f>
        <v>Afzal Husain</v>
      </c>
      <c r="C3" s="18">
        <f t="shared" ref="C3:C66" ca="1" si="4">TIME(RANDBETWEEN(6,9), RANDBETWEEN(0,59), 0)</f>
        <v>0.25416666666666665</v>
      </c>
      <c r="D3" s="18">
        <f t="shared" si="0"/>
        <v>0.20693287037037036</v>
      </c>
      <c r="E3" t="str">
        <f t="shared" si="1"/>
        <v>01:08:00</v>
      </c>
      <c r="F3">
        <f t="shared" si="2"/>
        <v>98</v>
      </c>
      <c r="G3" s="19">
        <f>IFERROR(VLOOKUP(A6, Efficiency!$A$2:$G$150, 6, 0), 0)</f>
        <v>0.43290000000000001</v>
      </c>
    </row>
    <row r="4" spans="1:7" x14ac:dyDescent="0.35">
      <c r="A4" t="str">
        <f>break!A4</f>
        <v>Mum_Anamika Gupta (1008514)</v>
      </c>
      <c r="B4" t="str">
        <f t="shared" si="3"/>
        <v>Anamika Gupta</v>
      </c>
      <c r="C4" s="18">
        <f t="shared" ca="1" si="4"/>
        <v>0.25069444444444444</v>
      </c>
      <c r="D4" s="18">
        <f t="shared" si="0"/>
        <v>0.20693287037037036</v>
      </c>
      <c r="E4" t="str">
        <f t="shared" si="1"/>
        <v>01:08:00</v>
      </c>
      <c r="F4">
        <f t="shared" si="2"/>
        <v>98</v>
      </c>
      <c r="G4" s="19">
        <f>IFERROR(VLOOKUP(A7, Efficiency!$A$2:$G$150, 6, 0), 0)</f>
        <v>0.65500000000000003</v>
      </c>
    </row>
    <row r="5" spans="1:7" x14ac:dyDescent="0.35">
      <c r="A5" t="str">
        <f>break!A5</f>
        <v>Mum_Anikuttan (1008515)</v>
      </c>
      <c r="B5" t="str">
        <f t="shared" si="3"/>
        <v>Anikuttan</v>
      </c>
      <c r="C5" s="18">
        <f t="shared" ca="1" si="4"/>
        <v>0.32847222222222222</v>
      </c>
      <c r="D5" s="18">
        <f t="shared" si="0"/>
        <v>0.20693287037037036</v>
      </c>
      <c r="E5" t="str">
        <f t="shared" si="1"/>
        <v>01:08:00</v>
      </c>
      <c r="F5">
        <f t="shared" si="2"/>
        <v>98</v>
      </c>
      <c r="G5" s="19">
        <f>IFERROR(VLOOKUP(A8, Efficiency!$A$2:$G$150, 6, 0), 0)</f>
        <v>0.49480000000000002</v>
      </c>
    </row>
    <row r="6" spans="1:7" x14ac:dyDescent="0.35">
      <c r="A6" t="str">
        <f>break!A6</f>
        <v>Mum_Anil Kumar (1008516)</v>
      </c>
      <c r="B6" t="str">
        <f t="shared" si="3"/>
        <v>Anil Kumar</v>
      </c>
      <c r="C6" s="18">
        <f t="shared" ca="1" si="4"/>
        <v>0.40416666666666662</v>
      </c>
      <c r="D6" s="18">
        <f t="shared" si="0"/>
        <v>0.20693287037037036</v>
      </c>
      <c r="E6" t="str">
        <f t="shared" si="1"/>
        <v>01:08:00</v>
      </c>
      <c r="F6">
        <f t="shared" si="2"/>
        <v>98</v>
      </c>
      <c r="G6" s="19">
        <f>IFERROR(VLOOKUP(A9, Efficiency!$A$2:$G$150, 6, 0), 0)</f>
        <v>0.55130000000000001</v>
      </c>
    </row>
    <row r="7" spans="1:7" x14ac:dyDescent="0.35">
      <c r="A7" t="str">
        <f>break!A7</f>
        <v>Mum_Anita Dixit (1008517)</v>
      </c>
      <c r="B7" t="str">
        <f t="shared" si="3"/>
        <v>Anita Dixit</v>
      </c>
      <c r="C7" s="18">
        <f t="shared" ca="1" si="4"/>
        <v>0.25347222222222221</v>
      </c>
      <c r="D7" s="18">
        <f t="shared" si="0"/>
        <v>0.20693287037037036</v>
      </c>
      <c r="E7" t="str">
        <f t="shared" si="1"/>
        <v>01:08:00</v>
      </c>
      <c r="F7">
        <f t="shared" si="2"/>
        <v>98</v>
      </c>
      <c r="G7" s="19">
        <f>IFERROR(VLOOKUP(A10, Efficiency!$A$2:$G$150, 6, 0), 0)</f>
        <v>0.55210000000000004</v>
      </c>
    </row>
    <row r="8" spans="1:7" x14ac:dyDescent="0.35">
      <c r="A8" t="str">
        <f>break!A8</f>
        <v>Mum_Anita Ghore (1008518)</v>
      </c>
      <c r="B8" t="str">
        <f t="shared" si="3"/>
        <v>Anita Ghore</v>
      </c>
      <c r="C8" s="18">
        <f t="shared" ca="1" si="4"/>
        <v>0.2638888888888889</v>
      </c>
      <c r="D8" s="18">
        <f t="shared" si="0"/>
        <v>0.20693287037037036</v>
      </c>
      <c r="E8" t="str">
        <f t="shared" si="1"/>
        <v>01:08:00</v>
      </c>
      <c r="F8">
        <f t="shared" si="2"/>
        <v>98</v>
      </c>
      <c r="G8" s="19">
        <f>IFERROR(VLOOKUP(A11, Efficiency!$A$2:$G$150, 6, 0), 0)</f>
        <v>0.56869999999999998</v>
      </c>
    </row>
    <row r="9" spans="1:7" x14ac:dyDescent="0.35">
      <c r="A9" t="str">
        <f>break!A9</f>
        <v>Mum_Anjali Deoram (1008519)</v>
      </c>
      <c r="B9" t="str">
        <f t="shared" si="3"/>
        <v>Anjali Deoram</v>
      </c>
      <c r="C9" s="18">
        <f t="shared" ca="1" si="4"/>
        <v>0.4055555555555555</v>
      </c>
      <c r="D9" s="18">
        <f t="shared" si="0"/>
        <v>0.20693287037037036</v>
      </c>
      <c r="E9" t="str">
        <f t="shared" si="1"/>
        <v>01:08:00</v>
      </c>
      <c r="F9">
        <f t="shared" si="2"/>
        <v>98</v>
      </c>
      <c r="G9" s="19">
        <f>IFERROR(VLOOKUP(A12, Efficiency!$A$2:$G$150, 6, 0), 0)</f>
        <v>0.56040000000000001</v>
      </c>
    </row>
    <row r="10" spans="1:7" x14ac:dyDescent="0.35">
      <c r="A10" t="str">
        <f>break!A10</f>
        <v>Mum_Anjali Sahay (1008520)</v>
      </c>
      <c r="B10" t="str">
        <f t="shared" si="3"/>
        <v>Anjali Sahay</v>
      </c>
      <c r="C10" s="18">
        <f t="shared" ca="1" si="4"/>
        <v>0.41597222222222219</v>
      </c>
      <c r="D10" s="18">
        <f t="shared" si="0"/>
        <v>0.20693287037037036</v>
      </c>
      <c r="E10" t="str">
        <f t="shared" si="1"/>
        <v>01:08:00</v>
      </c>
      <c r="F10">
        <f t="shared" si="2"/>
        <v>98</v>
      </c>
      <c r="G10" s="19">
        <f>IFERROR(VLOOKUP(A13, Efficiency!$A$2:$G$150, 6, 0), 0)</f>
        <v>0.41549999999999998</v>
      </c>
    </row>
    <row r="11" spans="1:7" x14ac:dyDescent="0.35">
      <c r="A11" t="str">
        <f>break!A11</f>
        <v>Mum_Annu Latika (1008521)</v>
      </c>
      <c r="B11" t="str">
        <f t="shared" si="3"/>
        <v>Annu Latika</v>
      </c>
      <c r="C11" s="18">
        <f t="shared" ca="1" si="4"/>
        <v>0.34027777777777773</v>
      </c>
      <c r="D11" s="18">
        <f t="shared" si="0"/>
        <v>0.20693287037037036</v>
      </c>
      <c r="E11" t="str">
        <f t="shared" si="1"/>
        <v>01:08:00</v>
      </c>
      <c r="F11">
        <f t="shared" si="2"/>
        <v>98</v>
      </c>
      <c r="G11" s="19">
        <f>IFERROR(VLOOKUP(A14, Efficiency!$A$2:$G$150, 6, 0), 0)</f>
        <v>0.50029999999999997</v>
      </c>
    </row>
    <row r="12" spans="1:7" x14ac:dyDescent="0.35">
      <c r="A12" t="str">
        <f>break!A12</f>
        <v>Mum_Anoop Narayan (1008522)</v>
      </c>
      <c r="B12" t="str">
        <f t="shared" si="3"/>
        <v>Anoop Narayan</v>
      </c>
      <c r="C12" s="18">
        <f t="shared" ca="1" si="4"/>
        <v>0.26250000000000001</v>
      </c>
      <c r="D12" s="18">
        <f t="shared" si="0"/>
        <v>0.20693287037037036</v>
      </c>
      <c r="E12" t="str">
        <f t="shared" si="1"/>
        <v>01:08:00</v>
      </c>
      <c r="F12">
        <f t="shared" si="2"/>
        <v>98</v>
      </c>
      <c r="G12" s="19">
        <f>IFERROR(VLOOKUP(A15, Efficiency!$A$2:$G$150, 6, 0), 0)</f>
        <v>0.51400000000000001</v>
      </c>
    </row>
    <row r="13" spans="1:7" x14ac:dyDescent="0.35">
      <c r="A13" t="str">
        <f>break!A13</f>
        <v>Mum_Anoop Raj (1008523)</v>
      </c>
      <c r="B13" t="str">
        <f t="shared" si="3"/>
        <v>Anoop Raj</v>
      </c>
      <c r="C13" s="18">
        <f t="shared" ca="1" si="4"/>
        <v>0.2986111111111111</v>
      </c>
      <c r="D13" s="18">
        <f t="shared" si="0"/>
        <v>0.20693287037037036</v>
      </c>
      <c r="E13" t="str">
        <f t="shared" si="1"/>
        <v>01:08:00</v>
      </c>
      <c r="F13">
        <f t="shared" si="2"/>
        <v>98</v>
      </c>
      <c r="G13" s="19">
        <f>IFERROR(VLOOKUP(A16, Efficiency!$A$2:$G$150, 6, 0), 0)</f>
        <v>0.51060000000000005</v>
      </c>
    </row>
    <row r="14" spans="1:7" x14ac:dyDescent="0.35">
      <c r="A14" t="str">
        <f>break!A14</f>
        <v>Mum_Anubhuti Gupta (1008524)</v>
      </c>
      <c r="B14" t="str">
        <f t="shared" si="3"/>
        <v>Anubhuti Gupta</v>
      </c>
      <c r="C14" s="18">
        <f t="shared" ca="1" si="4"/>
        <v>0.37013888888888885</v>
      </c>
      <c r="D14" s="18">
        <f t="shared" si="0"/>
        <v>0.20693287037037036</v>
      </c>
      <c r="E14" t="str">
        <f t="shared" si="1"/>
        <v>01:08:00</v>
      </c>
      <c r="F14">
        <f t="shared" si="2"/>
        <v>98</v>
      </c>
      <c r="G14" s="19">
        <f>IFERROR(VLOOKUP(A17, Efficiency!$A$2:$G$150, 6, 0), 0)</f>
        <v>0.4829</v>
      </c>
    </row>
    <row r="15" spans="1:7" x14ac:dyDescent="0.35">
      <c r="A15" t="str">
        <f>break!A15</f>
        <v>Mum_Arun Kumar (1008525)</v>
      </c>
      <c r="B15" t="str">
        <f t="shared" si="3"/>
        <v>Arun Kumar</v>
      </c>
      <c r="C15" s="18">
        <f t="shared" ca="1" si="4"/>
        <v>0.36874999999999997</v>
      </c>
      <c r="D15" s="18">
        <f t="shared" si="0"/>
        <v>0.20693287037037036</v>
      </c>
      <c r="E15" t="str">
        <f t="shared" si="1"/>
        <v>01:08:00</v>
      </c>
      <c r="F15">
        <f t="shared" si="2"/>
        <v>98</v>
      </c>
      <c r="G15" s="19">
        <f>IFERROR(VLOOKUP(A18, Efficiency!$A$2:$G$150, 6, 0), 0)</f>
        <v>0.5736</v>
      </c>
    </row>
    <row r="16" spans="1:7" x14ac:dyDescent="0.35">
      <c r="A16" t="str">
        <f>break!A16</f>
        <v>Mum_Ashish Kumar (1008526)</v>
      </c>
      <c r="B16" t="str">
        <f t="shared" si="3"/>
        <v>Ashish Kumar</v>
      </c>
      <c r="C16" s="18">
        <f t="shared" ca="1" si="4"/>
        <v>0.38125000000000003</v>
      </c>
      <c r="D16" s="18">
        <f t="shared" si="0"/>
        <v>0.20693287037037036</v>
      </c>
      <c r="E16" t="str">
        <f t="shared" si="1"/>
        <v>01:08:00</v>
      </c>
      <c r="F16">
        <f t="shared" si="2"/>
        <v>98</v>
      </c>
      <c r="G16" s="19">
        <f>IFERROR(VLOOKUP(A19, Efficiency!$A$2:$G$150, 6, 0), 0)</f>
        <v>0.56430000000000002</v>
      </c>
    </row>
    <row r="17" spans="1:7" x14ac:dyDescent="0.35">
      <c r="A17" t="str">
        <f>break!A17</f>
        <v>Mum_Ashok Kumar (1008527)</v>
      </c>
      <c r="B17" t="str">
        <f t="shared" si="3"/>
        <v>Ashok Kumar</v>
      </c>
      <c r="C17" s="18">
        <f t="shared" ca="1" si="4"/>
        <v>0.26874999999999999</v>
      </c>
      <c r="D17" s="18">
        <f t="shared" si="0"/>
        <v>0.20693287037037036</v>
      </c>
      <c r="E17" t="str">
        <f t="shared" si="1"/>
        <v>01:08:00</v>
      </c>
      <c r="F17">
        <f t="shared" si="2"/>
        <v>98</v>
      </c>
      <c r="G17" s="19">
        <f>IFERROR(VLOOKUP(A20, Efficiency!$A$2:$G$150, 6, 0), 0)</f>
        <v>0.46970000000000001</v>
      </c>
    </row>
    <row r="18" spans="1:7" x14ac:dyDescent="0.35">
      <c r="A18" t="str">
        <f>break!A18</f>
        <v>Hyd_Ashok Kumar (1008528)</v>
      </c>
      <c r="B18" t="str">
        <f t="shared" si="3"/>
        <v>Ashok Kumar</v>
      </c>
      <c r="C18" s="18">
        <f t="shared" ca="1" si="4"/>
        <v>0.28958333333333336</v>
      </c>
      <c r="D18" s="18">
        <f t="shared" si="0"/>
        <v>0.20693287037037036</v>
      </c>
      <c r="E18" t="str">
        <f t="shared" si="1"/>
        <v>01:08:00</v>
      </c>
      <c r="F18">
        <f t="shared" si="2"/>
        <v>98</v>
      </c>
      <c r="G18" s="19">
        <f>IFERROR(VLOOKUP(A21, Efficiency!$A$2:$G$150, 6, 0), 0)</f>
        <v>0</v>
      </c>
    </row>
    <row r="19" spans="1:7" x14ac:dyDescent="0.35">
      <c r="A19" t="str">
        <f>break!A19</f>
        <v>Hyd_Ashok Kumar (1008529)</v>
      </c>
      <c r="B19" t="str">
        <f t="shared" si="3"/>
        <v>Ashok Kumar</v>
      </c>
      <c r="C19" s="18">
        <f t="shared" ca="1" si="4"/>
        <v>0.35694444444444445</v>
      </c>
      <c r="D19" s="18">
        <f t="shared" si="0"/>
        <v>0.20693287037037036</v>
      </c>
      <c r="E19" t="str">
        <f t="shared" si="1"/>
        <v>01:08:00</v>
      </c>
      <c r="F19">
        <f t="shared" si="2"/>
        <v>98</v>
      </c>
      <c r="G19" s="19">
        <f>IFERROR(VLOOKUP(A22, Efficiency!$A$2:$G$150, 6, 0), 0)</f>
        <v>0</v>
      </c>
    </row>
    <row r="20" spans="1:7" x14ac:dyDescent="0.35">
      <c r="A20" s="2" t="s">
        <v>31</v>
      </c>
      <c r="B20" t="str">
        <f t="shared" si="3"/>
        <v>Ashok Kumar</v>
      </c>
      <c r="C20" s="18">
        <f t="shared" ca="1" si="4"/>
        <v>0.34861111111111115</v>
      </c>
      <c r="D20" s="18">
        <f t="shared" si="0"/>
        <v>0.20693287037037036</v>
      </c>
      <c r="E20" t="str">
        <f t="shared" si="1"/>
        <v>01:08:00</v>
      </c>
      <c r="F20">
        <f t="shared" si="2"/>
        <v>98</v>
      </c>
      <c r="G20" s="19">
        <f>IFERROR(VLOOKUP(A23, Efficiency!$A$2:$G$150, 6, 0), 0)</f>
        <v>0</v>
      </c>
    </row>
    <row r="21" spans="1:7" x14ac:dyDescent="0.35">
      <c r="A21" t="s">
        <v>32</v>
      </c>
      <c r="B21" t="str">
        <f t="shared" si="3"/>
        <v>Atul Kumar</v>
      </c>
      <c r="C21" s="18">
        <f t="shared" ca="1" si="4"/>
        <v>0.31180555555555556</v>
      </c>
      <c r="D21" s="18">
        <f t="shared" si="0"/>
        <v>0.20693287037037036</v>
      </c>
      <c r="E21" t="str">
        <f t="shared" si="1"/>
        <v>01:08:00</v>
      </c>
      <c r="F21">
        <f t="shared" si="2"/>
        <v>98</v>
      </c>
      <c r="G21" s="19">
        <f>IFERROR(VLOOKUP(A24, Efficiency!$A$2:$G$150, 6, 0), 0)</f>
        <v>0</v>
      </c>
    </row>
    <row r="22" spans="1:7" x14ac:dyDescent="0.35">
      <c r="A22" s="2" t="s">
        <v>33</v>
      </c>
      <c r="B22" t="str">
        <f t="shared" si="3"/>
        <v>Azam</v>
      </c>
      <c r="C22" s="18">
        <f t="shared" ca="1" si="4"/>
        <v>0.28333333333333333</v>
      </c>
      <c r="D22" s="18">
        <f t="shared" si="0"/>
        <v>0.20693287037037036</v>
      </c>
      <c r="E22" t="str">
        <f t="shared" si="1"/>
        <v>01:08:00</v>
      </c>
      <c r="F22">
        <f t="shared" si="2"/>
        <v>98</v>
      </c>
      <c r="G22" s="19">
        <f>IFERROR(VLOOKUP(A25, Efficiency!$A$2:$G$150, 6, 0), 0)</f>
        <v>0</v>
      </c>
    </row>
    <row r="23" spans="1:7" x14ac:dyDescent="0.35">
      <c r="A23" t="s">
        <v>34</v>
      </c>
      <c r="B23" t="str">
        <f t="shared" si="3"/>
        <v>Bhagwat Singh</v>
      </c>
      <c r="C23" s="18">
        <f t="shared" ca="1" si="4"/>
        <v>0.32916666666666666</v>
      </c>
      <c r="D23" s="18">
        <f t="shared" si="0"/>
        <v>0.20693287037037036</v>
      </c>
      <c r="E23" t="str">
        <f t="shared" si="1"/>
        <v>01:08:00</v>
      </c>
      <c r="F23">
        <f t="shared" si="2"/>
        <v>98</v>
      </c>
      <c r="G23" s="19">
        <f>IFERROR(VLOOKUP(A26, Efficiency!$A$2:$G$150, 6, 0), 0)</f>
        <v>0</v>
      </c>
    </row>
    <row r="24" spans="1:7" x14ac:dyDescent="0.35">
      <c r="A24" t="str">
        <f>break!A24</f>
        <v>Hyd_Bindu Nair (1008535)</v>
      </c>
      <c r="B24" t="str">
        <f t="shared" si="3"/>
        <v>Bindu Nair</v>
      </c>
      <c r="C24" s="18">
        <f t="shared" ca="1" si="4"/>
        <v>0.38541666666666669</v>
      </c>
      <c r="D24" s="18">
        <f t="shared" si="0"/>
        <v>0.20693287037037036</v>
      </c>
      <c r="E24" t="str">
        <f t="shared" si="1"/>
        <v>01:08:00</v>
      </c>
      <c r="F24">
        <f t="shared" si="2"/>
        <v>98</v>
      </c>
      <c r="G24" s="19">
        <f>IFERROR(VLOOKUP(A27, Efficiency!$A$2:$G$150, 6, 0), 0)</f>
        <v>0</v>
      </c>
    </row>
    <row r="25" spans="1:7" x14ac:dyDescent="0.35">
      <c r="A25" t="str">
        <f>break!A25</f>
        <v>Hyd_Daleep Kumar (1008536)</v>
      </c>
      <c r="B25" t="str">
        <f t="shared" si="3"/>
        <v>Daleep Kumar</v>
      </c>
      <c r="C25" s="18">
        <f t="shared" ca="1" si="4"/>
        <v>0.38194444444444442</v>
      </c>
      <c r="D25" s="18">
        <f t="shared" si="0"/>
        <v>0.20693287037037036</v>
      </c>
      <c r="E25" t="str">
        <f t="shared" si="1"/>
        <v>01:08:00</v>
      </c>
      <c r="F25">
        <f t="shared" si="2"/>
        <v>98</v>
      </c>
      <c r="G25" s="19">
        <f>IFERROR(VLOOKUP(A28, Efficiency!$A$2:$G$150, 6, 0), 0)</f>
        <v>0</v>
      </c>
    </row>
    <row r="26" spans="1:7" x14ac:dyDescent="0.35">
      <c r="A26" t="str">
        <f>break!A26</f>
        <v>Hyd_Deepak Kumar (1008537)</v>
      </c>
      <c r="B26" t="str">
        <f t="shared" si="3"/>
        <v>Deepak Kumar</v>
      </c>
      <c r="C26" s="18">
        <f t="shared" ca="1" si="4"/>
        <v>0.2590277777777778</v>
      </c>
      <c r="D26" s="18">
        <f t="shared" si="0"/>
        <v>0.20693287037037036</v>
      </c>
      <c r="E26" t="str">
        <f t="shared" si="1"/>
        <v>01:08:00</v>
      </c>
      <c r="F26">
        <f t="shared" si="2"/>
        <v>98</v>
      </c>
      <c r="G26" s="19">
        <f>IFERROR(VLOOKUP(A29, Efficiency!$A$2:$G$150, 6, 0), 0)</f>
        <v>0</v>
      </c>
    </row>
    <row r="27" spans="1:7" x14ac:dyDescent="0.35">
      <c r="A27" t="str">
        <f>break!A27</f>
        <v>Hyd_Deepika Nigam (1008538)</v>
      </c>
      <c r="B27" t="str">
        <f t="shared" si="3"/>
        <v>Deepika Nigam</v>
      </c>
      <c r="C27" s="18">
        <f t="shared" ca="1" si="4"/>
        <v>0.3125</v>
      </c>
      <c r="D27" s="18">
        <f t="shared" si="0"/>
        <v>0.20693287037037036</v>
      </c>
      <c r="E27" t="str">
        <f t="shared" si="1"/>
        <v>01:08:00</v>
      </c>
      <c r="F27">
        <f t="shared" si="2"/>
        <v>98</v>
      </c>
      <c r="G27" s="19">
        <f>IFERROR(VLOOKUP(A30, Efficiency!$A$2:$G$150, 6, 0), 0)</f>
        <v>0</v>
      </c>
    </row>
    <row r="28" spans="1:7" x14ac:dyDescent="0.35">
      <c r="A28" t="str">
        <f>break!A28</f>
        <v>Hyd_Dinesh Kumar (1008539)</v>
      </c>
      <c r="B28" t="str">
        <f t="shared" si="3"/>
        <v>Dinesh Kumar</v>
      </c>
      <c r="C28" s="18">
        <f t="shared" ca="1" si="4"/>
        <v>0.38680555555555557</v>
      </c>
      <c r="D28" s="18">
        <f t="shared" si="0"/>
        <v>0.20693287037037036</v>
      </c>
      <c r="E28" t="str">
        <f t="shared" si="1"/>
        <v>01:08:00</v>
      </c>
      <c r="F28">
        <f t="shared" si="2"/>
        <v>98</v>
      </c>
      <c r="G28" s="19">
        <f>IFERROR(VLOOKUP(A31, Efficiency!$A$2:$G$150, 6, 0), 0)</f>
        <v>0</v>
      </c>
    </row>
    <row r="29" spans="1:7" x14ac:dyDescent="0.35">
      <c r="A29" t="str">
        <f>break!A29</f>
        <v>Hyd_Hari Kumar (1008540)</v>
      </c>
      <c r="B29" t="str">
        <f t="shared" si="3"/>
        <v>Hari Kumar</v>
      </c>
      <c r="C29" s="18">
        <f t="shared" ca="1" si="4"/>
        <v>0.26250000000000001</v>
      </c>
      <c r="D29" s="18">
        <f t="shared" si="0"/>
        <v>0.20693287037037036</v>
      </c>
      <c r="E29" t="str">
        <f t="shared" si="1"/>
        <v>01:08:00</v>
      </c>
      <c r="F29">
        <f t="shared" si="2"/>
        <v>98</v>
      </c>
      <c r="G29" s="19">
        <f>IFERROR(VLOOKUP(A32, Efficiency!$A$2:$G$150, 6, 0), 0)</f>
        <v>0</v>
      </c>
    </row>
    <row r="30" spans="1:7" x14ac:dyDescent="0.35">
      <c r="A30" t="str">
        <f>break!A30</f>
        <v>Hyd_Heeramani Choudhary (1008541)</v>
      </c>
      <c r="B30" t="str">
        <f t="shared" si="3"/>
        <v>Heeramani Choudhary</v>
      </c>
      <c r="C30" s="18">
        <f t="shared" ca="1" si="4"/>
        <v>0.29305555555555557</v>
      </c>
      <c r="D30" s="18">
        <f t="shared" si="0"/>
        <v>0.20693287037037036</v>
      </c>
      <c r="E30" t="str">
        <f t="shared" si="1"/>
        <v>01:08:00</v>
      </c>
      <c r="F30">
        <f t="shared" si="2"/>
        <v>98</v>
      </c>
      <c r="G30" s="19">
        <f>IFERROR(VLOOKUP(A33, Efficiency!$A$2:$G$150, 6, 0), 0)</f>
        <v>0</v>
      </c>
    </row>
    <row r="31" spans="1:7" x14ac:dyDescent="0.35">
      <c r="A31" t="str">
        <f>break!A31</f>
        <v>Hyd_Indra Pal (1008542)</v>
      </c>
      <c r="B31" t="str">
        <f t="shared" si="3"/>
        <v>Indra Pal</v>
      </c>
      <c r="C31" s="18">
        <f t="shared" ca="1" si="4"/>
        <v>0.27708333333333335</v>
      </c>
      <c r="D31" s="18">
        <f t="shared" si="0"/>
        <v>0.20693287037037036</v>
      </c>
      <c r="E31" t="str">
        <f t="shared" si="1"/>
        <v>01:08:00</v>
      </c>
      <c r="F31">
        <f t="shared" si="2"/>
        <v>98</v>
      </c>
      <c r="G31" s="19">
        <f>IFERROR(VLOOKUP(A34, Efficiency!$A$2:$G$150, 6, 0), 0)</f>
        <v>0</v>
      </c>
    </row>
    <row r="32" spans="1:7" x14ac:dyDescent="0.35">
      <c r="A32" t="str">
        <f>break!A32</f>
        <v>Hyd_Indra Singh (1008543)</v>
      </c>
      <c r="B32" t="str">
        <f t="shared" si="3"/>
        <v>Indra Singh</v>
      </c>
      <c r="C32" s="18">
        <f t="shared" ca="1" si="4"/>
        <v>0.37986111111111115</v>
      </c>
      <c r="D32" s="18">
        <f t="shared" si="0"/>
        <v>0.20693287037037036</v>
      </c>
      <c r="E32" t="str">
        <f t="shared" si="1"/>
        <v>01:08:00</v>
      </c>
      <c r="F32">
        <f t="shared" si="2"/>
        <v>98</v>
      </c>
      <c r="G32" s="19">
        <f>IFERROR(VLOOKUP(A35, Efficiency!$A$2:$G$150, 6, 0), 0)</f>
        <v>0</v>
      </c>
    </row>
    <row r="33" spans="1:7" x14ac:dyDescent="0.35">
      <c r="A33" t="str">
        <f>break!A33</f>
        <v>Hyd_Jagdish Chandra (1008544)</v>
      </c>
      <c r="B33" t="str">
        <f t="shared" si="3"/>
        <v>Jagdish Chandra</v>
      </c>
      <c r="C33" s="18">
        <f t="shared" ca="1" si="4"/>
        <v>0.29583333333333334</v>
      </c>
      <c r="D33" s="18">
        <f t="shared" si="0"/>
        <v>0.20693287037037036</v>
      </c>
      <c r="E33" t="str">
        <f t="shared" si="1"/>
        <v>01:08:00</v>
      </c>
      <c r="F33">
        <f t="shared" si="2"/>
        <v>98</v>
      </c>
      <c r="G33" s="19">
        <f>IFERROR(VLOOKUP(A36, Efficiency!$A$2:$G$150, 6, 0), 0)</f>
        <v>0</v>
      </c>
    </row>
    <row r="34" spans="1:7" x14ac:dyDescent="0.35">
      <c r="A34" t="str">
        <f>break!A34</f>
        <v>Hyd_Jairaj Vatham (1008545)</v>
      </c>
      <c r="B34" t="str">
        <f t="shared" si="3"/>
        <v>Jairaj Vatham</v>
      </c>
      <c r="C34" s="18">
        <f t="shared" ca="1" si="4"/>
        <v>0.25625000000000003</v>
      </c>
      <c r="D34" s="18">
        <f t="shared" ref="D34:D65" si="5">VLOOKUP($A$2,EData,3,0)</f>
        <v>0.20693287037037036</v>
      </c>
      <c r="E34" t="str">
        <f t="shared" ref="E34:E65" si="6">VLOOKUP(TRIM(A34), BData, 9, 0)</f>
        <v>01:08:00</v>
      </c>
      <c r="F34">
        <f t="shared" ref="F34:F65" si="7">VLOOKUP($A$2,Pdata,2,0)</f>
        <v>98</v>
      </c>
      <c r="G34" s="19">
        <f>IFERROR(VLOOKUP(A37, Efficiency!$A$2:$G$150, 6, 0), 0)</f>
        <v>0</v>
      </c>
    </row>
    <row r="35" spans="1:7" x14ac:dyDescent="0.35">
      <c r="A35" t="str">
        <f>break!A35</f>
        <v>Hyd_Janardan Mishra (1008546)</v>
      </c>
      <c r="B35" t="str">
        <f t="shared" si="3"/>
        <v>Janardan Mishra</v>
      </c>
      <c r="C35" s="18">
        <f t="shared" ca="1" si="4"/>
        <v>0.3833333333333333</v>
      </c>
      <c r="D35" s="18">
        <f t="shared" si="5"/>
        <v>0.20693287037037036</v>
      </c>
      <c r="E35" t="str">
        <f t="shared" si="6"/>
        <v>01:08:00</v>
      </c>
      <c r="F35">
        <f t="shared" si="7"/>
        <v>98</v>
      </c>
      <c r="G35" s="19">
        <f>IFERROR(VLOOKUP(A38, Efficiency!$A$2:$G$150, 6, 0), 0)</f>
        <v>0</v>
      </c>
    </row>
    <row r="36" spans="1:7" x14ac:dyDescent="0.35">
      <c r="A36" t="str">
        <f>break!A36</f>
        <v>Hyd_Jitendra Kumar (1008547)</v>
      </c>
      <c r="B36" t="str">
        <f t="shared" si="3"/>
        <v>Jitendra Kumar</v>
      </c>
      <c r="C36" s="18">
        <f t="shared" ca="1" si="4"/>
        <v>0.37986111111111115</v>
      </c>
      <c r="D36" s="18">
        <f t="shared" si="5"/>
        <v>0.20693287037037036</v>
      </c>
      <c r="E36" t="str">
        <f t="shared" si="6"/>
        <v>01:08:00</v>
      </c>
      <c r="F36">
        <f t="shared" si="7"/>
        <v>98</v>
      </c>
      <c r="G36" s="19">
        <f>IFERROR(VLOOKUP(A39, Efficiency!$A$2:$G$150, 6, 0), 0)</f>
        <v>0</v>
      </c>
    </row>
    <row r="37" spans="1:7" x14ac:dyDescent="0.35">
      <c r="A37" t="str">
        <f>break!A37</f>
        <v>Hyd_John D'Costa (1008548)</v>
      </c>
      <c r="B37" t="str">
        <f t="shared" si="3"/>
        <v>John D'Costa</v>
      </c>
      <c r="C37" s="18">
        <f t="shared" ca="1" si="4"/>
        <v>0.25069444444444444</v>
      </c>
      <c r="D37" s="18">
        <f t="shared" si="5"/>
        <v>0.20693287037037036</v>
      </c>
      <c r="E37" t="str">
        <f t="shared" si="6"/>
        <v>01:08:00</v>
      </c>
      <c r="F37">
        <f t="shared" si="7"/>
        <v>98</v>
      </c>
      <c r="G37" s="19">
        <f>IFERROR(VLOOKUP(A40, Efficiency!$A$2:$G$150, 6, 0), 0)</f>
        <v>0</v>
      </c>
    </row>
    <row r="38" spans="1:7" x14ac:dyDescent="0.35">
      <c r="A38" t="str">
        <f>break!A38</f>
        <v>Hyd_Julie S (1008549)</v>
      </c>
      <c r="B38" t="str">
        <f t="shared" si="3"/>
        <v>Julie S</v>
      </c>
      <c r="C38" s="18">
        <f t="shared" ca="1" si="4"/>
        <v>0.36180555555555555</v>
      </c>
      <c r="D38" s="18">
        <f t="shared" si="5"/>
        <v>0.20693287037037036</v>
      </c>
      <c r="E38" t="str">
        <f t="shared" si="6"/>
        <v>01:08:00</v>
      </c>
      <c r="F38">
        <f t="shared" si="7"/>
        <v>98</v>
      </c>
      <c r="G38" s="19">
        <f>IFERROR(VLOOKUP(A41, Efficiency!$A$2:$G$150, 6, 0), 0)</f>
        <v>0</v>
      </c>
    </row>
    <row r="39" spans="1:7" x14ac:dyDescent="0.35">
      <c r="A39" t="str">
        <f>break!A39</f>
        <v>Hyd_Jyoti Tulsani (1008550)</v>
      </c>
      <c r="B39" t="str">
        <f t="shared" si="3"/>
        <v>Jyoti Tulsani</v>
      </c>
      <c r="C39" s="18">
        <f t="shared" ca="1" si="4"/>
        <v>0.41319444444444442</v>
      </c>
      <c r="D39" s="18">
        <f t="shared" si="5"/>
        <v>0.20693287037037036</v>
      </c>
      <c r="E39" t="str">
        <f t="shared" si="6"/>
        <v>01:08:00</v>
      </c>
      <c r="F39">
        <f t="shared" si="7"/>
        <v>98</v>
      </c>
      <c r="G39" s="19">
        <f>IFERROR(VLOOKUP(A42, Efficiency!$A$2:$G$150, 6, 0), 0)</f>
        <v>0</v>
      </c>
    </row>
    <row r="40" spans="1:7" x14ac:dyDescent="0.35">
      <c r="A40" t="str">
        <f>break!A40</f>
        <v>Hyd_Kahkasha Parveen (1008551)</v>
      </c>
      <c r="B40" t="str">
        <f t="shared" si="3"/>
        <v>Kahkasha Parveen</v>
      </c>
      <c r="C40" s="18">
        <f t="shared" ca="1" si="4"/>
        <v>0.2673611111111111</v>
      </c>
      <c r="D40" s="18">
        <f t="shared" si="5"/>
        <v>0.20693287037037036</v>
      </c>
      <c r="E40" t="str">
        <f t="shared" si="6"/>
        <v>01:08:00</v>
      </c>
      <c r="F40">
        <f t="shared" si="7"/>
        <v>98</v>
      </c>
      <c r="G40" s="19">
        <f>IFERROR(VLOOKUP(A43, Efficiency!$A$2:$G$150, 6, 0), 0)</f>
        <v>0</v>
      </c>
    </row>
    <row r="41" spans="1:7" x14ac:dyDescent="0.35">
      <c r="A41" t="str">
        <f>break!A41</f>
        <v>Hyd_Lilly Lucy (1008552)</v>
      </c>
      <c r="B41" t="str">
        <f t="shared" si="3"/>
        <v>Lilly Lucy</v>
      </c>
      <c r="C41" s="18">
        <f t="shared" ca="1" si="4"/>
        <v>0.29652777777777778</v>
      </c>
      <c r="D41" s="18">
        <f t="shared" si="5"/>
        <v>0.20693287037037036</v>
      </c>
      <c r="E41" t="str">
        <f t="shared" si="6"/>
        <v>01:08:00</v>
      </c>
      <c r="F41">
        <f t="shared" si="7"/>
        <v>98</v>
      </c>
      <c r="G41" s="19">
        <f>IFERROR(VLOOKUP(A44, Efficiency!$A$2:$G$150, 6, 0), 0)</f>
        <v>0</v>
      </c>
    </row>
    <row r="42" spans="1:7" x14ac:dyDescent="0.35">
      <c r="A42" t="str">
        <f>break!A42</f>
        <v>Hyd_Mangal Singh (1008553)</v>
      </c>
      <c r="B42" t="str">
        <f t="shared" si="3"/>
        <v>Mangal Singh</v>
      </c>
      <c r="C42" s="18">
        <f t="shared" ca="1" si="4"/>
        <v>0.31319444444444444</v>
      </c>
      <c r="D42" s="18">
        <f t="shared" si="5"/>
        <v>0.20693287037037036</v>
      </c>
      <c r="E42" t="str">
        <f t="shared" si="6"/>
        <v>01:08:00</v>
      </c>
      <c r="F42">
        <f t="shared" si="7"/>
        <v>98</v>
      </c>
      <c r="G42" s="19">
        <f>IFERROR(VLOOKUP(A45, Efficiency!$A$2:$G$150, 6, 0), 0)</f>
        <v>0</v>
      </c>
    </row>
    <row r="43" spans="1:7" x14ac:dyDescent="0.35">
      <c r="A43" t="str">
        <f>break!A43</f>
        <v>Hyd_Manisha Shrivastava (1008554)</v>
      </c>
      <c r="B43" t="str">
        <f t="shared" si="3"/>
        <v>Manisha Shrivastava</v>
      </c>
      <c r="C43" s="18">
        <f t="shared" ca="1" si="4"/>
        <v>0.2590277777777778</v>
      </c>
      <c r="D43" s="18">
        <f t="shared" si="5"/>
        <v>0.20693287037037036</v>
      </c>
      <c r="E43" t="str">
        <f t="shared" si="6"/>
        <v>01:08:00</v>
      </c>
      <c r="F43">
        <f t="shared" si="7"/>
        <v>98</v>
      </c>
      <c r="G43" s="19">
        <f>IFERROR(VLOOKUP(A46, Efficiency!$A$2:$G$150, 6, 0), 0)</f>
        <v>0</v>
      </c>
    </row>
    <row r="44" spans="1:7" x14ac:dyDescent="0.35">
      <c r="A44" t="str">
        <f>break!A44</f>
        <v>Hyd_Manjusha Sinha (1008555)</v>
      </c>
      <c r="B44" t="str">
        <f t="shared" si="3"/>
        <v>Manjusha Sinha</v>
      </c>
      <c r="C44" s="18">
        <f t="shared" ca="1" si="4"/>
        <v>0.35000000000000003</v>
      </c>
      <c r="D44" s="18">
        <f t="shared" si="5"/>
        <v>0.20693287037037036</v>
      </c>
      <c r="E44" t="str">
        <f t="shared" si="6"/>
        <v>01:08:00</v>
      </c>
      <c r="F44">
        <f t="shared" si="7"/>
        <v>98</v>
      </c>
      <c r="G44" s="19">
        <f>IFERROR(VLOOKUP(A47, Efficiency!$A$2:$G$150, 6, 0), 0)</f>
        <v>0</v>
      </c>
    </row>
    <row r="45" spans="1:7" x14ac:dyDescent="0.35">
      <c r="A45" t="str">
        <f>break!A45</f>
        <v>Hyd_Manju Tiwari Lab (1008556)</v>
      </c>
      <c r="B45" t="str">
        <f t="shared" si="3"/>
        <v>Manju Tiwari Lab</v>
      </c>
      <c r="C45" s="18">
        <f t="shared" ca="1" si="4"/>
        <v>0.32430555555555557</v>
      </c>
      <c r="D45" s="18">
        <f t="shared" si="5"/>
        <v>0.20693287037037036</v>
      </c>
      <c r="E45" t="str">
        <f t="shared" si="6"/>
        <v>01:08:00</v>
      </c>
      <c r="F45">
        <f t="shared" si="7"/>
        <v>98</v>
      </c>
      <c r="G45" s="19">
        <f>IFERROR(VLOOKUP(A48, Efficiency!$A$2:$G$150, 6, 0), 0)</f>
        <v>0</v>
      </c>
    </row>
    <row r="46" spans="1:7" x14ac:dyDescent="0.35">
      <c r="A46" t="str">
        <f>break!A46</f>
        <v>Hyd_Manoj Kumar (1008557)</v>
      </c>
      <c r="B46" t="str">
        <f t="shared" si="3"/>
        <v>Manoj Kumar</v>
      </c>
      <c r="C46" s="18">
        <f t="shared" ca="1" si="4"/>
        <v>0.27777777777777779</v>
      </c>
      <c r="D46" s="18">
        <f t="shared" si="5"/>
        <v>0.20693287037037036</v>
      </c>
      <c r="E46" t="str">
        <f t="shared" si="6"/>
        <v>01:08:00</v>
      </c>
      <c r="F46">
        <f t="shared" si="7"/>
        <v>98</v>
      </c>
      <c r="G46" s="19">
        <f>IFERROR(VLOOKUP(A49, Efficiency!$A$2:$G$150, 6, 0), 0)</f>
        <v>0</v>
      </c>
    </row>
    <row r="47" spans="1:7" x14ac:dyDescent="0.35">
      <c r="A47" t="str">
        <f>break!A47</f>
        <v>Hyd_Manoj Kumar (1008558)</v>
      </c>
      <c r="B47" t="str">
        <f t="shared" si="3"/>
        <v>Manoj Kumar</v>
      </c>
      <c r="C47" s="18">
        <f t="shared" ca="1" si="4"/>
        <v>0.38194444444444442</v>
      </c>
      <c r="D47" s="18">
        <f t="shared" si="5"/>
        <v>0.20693287037037036</v>
      </c>
      <c r="E47" t="str">
        <f t="shared" si="6"/>
        <v>01:08:00</v>
      </c>
      <c r="F47">
        <f t="shared" si="7"/>
        <v>98</v>
      </c>
      <c r="G47" s="19">
        <f>IFERROR(VLOOKUP(A50, Efficiency!$A$2:$G$150, 6, 0), 0)</f>
        <v>0</v>
      </c>
    </row>
    <row r="48" spans="1:7" x14ac:dyDescent="0.35">
      <c r="A48" t="str">
        <f>break!A48</f>
        <v>Hyd_Masroor Adil (1008559)</v>
      </c>
      <c r="B48" t="str">
        <f t="shared" si="3"/>
        <v>Masroor Adil</v>
      </c>
      <c r="C48" s="18">
        <f t="shared" ca="1" si="4"/>
        <v>0.41180555555555554</v>
      </c>
      <c r="D48" s="18">
        <f t="shared" si="5"/>
        <v>0.20693287037037036</v>
      </c>
      <c r="E48" t="str">
        <f t="shared" si="6"/>
        <v>01:08:00</v>
      </c>
      <c r="F48">
        <f t="shared" si="7"/>
        <v>98</v>
      </c>
      <c r="G48" s="19">
        <f>IFERROR(VLOOKUP(A51, Efficiency!$A$2:$G$150, 6, 0), 0)</f>
        <v>0</v>
      </c>
    </row>
    <row r="49" spans="1:7" x14ac:dyDescent="0.35">
      <c r="A49" t="str">
        <f>break!A49</f>
        <v>Hyd_Meena Zinjare (1008560)</v>
      </c>
      <c r="B49" t="str">
        <f t="shared" si="3"/>
        <v>Meena Zinjare</v>
      </c>
      <c r="C49" s="18">
        <f t="shared" ca="1" si="4"/>
        <v>0.37638888888888888</v>
      </c>
      <c r="D49" s="18">
        <f t="shared" si="5"/>
        <v>0.20693287037037036</v>
      </c>
      <c r="E49" t="str">
        <f t="shared" si="6"/>
        <v>01:08:00</v>
      </c>
      <c r="F49">
        <f t="shared" si="7"/>
        <v>98</v>
      </c>
      <c r="G49" s="19">
        <f>IFERROR(VLOOKUP(A52, Efficiency!$A$2:$G$150, 6, 0), 0)</f>
        <v>0</v>
      </c>
    </row>
    <row r="50" spans="1:7" x14ac:dyDescent="0.35">
      <c r="A50" t="str">
        <f>break!A50</f>
        <v>Hyd_Mehnaz Khan (1008561)</v>
      </c>
      <c r="B50" t="str">
        <f t="shared" si="3"/>
        <v>Mehnaz Khan</v>
      </c>
      <c r="C50" s="18">
        <f t="shared" ca="1" si="4"/>
        <v>0.31458333333333333</v>
      </c>
      <c r="D50" s="18">
        <f t="shared" si="5"/>
        <v>0.20693287037037036</v>
      </c>
      <c r="E50" t="str">
        <f t="shared" si="6"/>
        <v>01:08:00</v>
      </c>
      <c r="F50">
        <f t="shared" si="7"/>
        <v>98</v>
      </c>
      <c r="G50" s="19">
        <f>IFERROR(VLOOKUP(A53, Efficiency!$A$2:$G$150, 6, 0), 0)</f>
        <v>0</v>
      </c>
    </row>
    <row r="51" spans="1:7" x14ac:dyDescent="0.35">
      <c r="A51" t="str">
        <f>break!A51</f>
        <v>Hyd_Mercy Thampi (1008562)</v>
      </c>
      <c r="B51" t="str">
        <f t="shared" si="3"/>
        <v>Mercy Thampi</v>
      </c>
      <c r="C51" s="18">
        <f t="shared" ca="1" si="4"/>
        <v>0.30069444444444443</v>
      </c>
      <c r="D51" s="18">
        <f t="shared" si="5"/>
        <v>0.20693287037037036</v>
      </c>
      <c r="E51" t="str">
        <f t="shared" si="6"/>
        <v>01:08:00</v>
      </c>
      <c r="F51">
        <f t="shared" si="7"/>
        <v>98</v>
      </c>
      <c r="G51" s="19">
        <f>IFERROR(VLOOKUP(A54, Efficiency!$A$2:$G$150, 6, 0), 0)</f>
        <v>0</v>
      </c>
    </row>
    <row r="52" spans="1:7" x14ac:dyDescent="0.35">
      <c r="A52" t="str">
        <f>break!A52</f>
        <v>Hyd_Miny Mole (1008563)</v>
      </c>
      <c r="B52" t="str">
        <f t="shared" si="3"/>
        <v>Miny Mole</v>
      </c>
      <c r="C52" s="18">
        <f t="shared" ca="1" si="4"/>
        <v>0.38680555555555557</v>
      </c>
      <c r="D52" s="18">
        <f t="shared" si="5"/>
        <v>0.20693287037037036</v>
      </c>
      <c r="E52" t="str">
        <f t="shared" si="6"/>
        <v>01:08:00</v>
      </c>
      <c r="F52">
        <f t="shared" si="7"/>
        <v>98</v>
      </c>
      <c r="G52" s="19">
        <f>IFERROR(VLOOKUP(A55, Efficiency!$A$2:$G$150, 6, 0), 0)</f>
        <v>0</v>
      </c>
    </row>
    <row r="53" spans="1:7" x14ac:dyDescent="0.35">
      <c r="A53" t="str">
        <f>break!A53</f>
        <v>Hyd_Mohd Rafi (1008564)</v>
      </c>
      <c r="B53" t="str">
        <f t="shared" si="3"/>
        <v>Mohd Rafi</v>
      </c>
      <c r="C53" s="18">
        <f t="shared" ca="1" si="4"/>
        <v>0.31805555555555554</v>
      </c>
      <c r="D53" s="18">
        <f t="shared" si="5"/>
        <v>0.20693287037037036</v>
      </c>
      <c r="E53" t="str">
        <f t="shared" si="6"/>
        <v>01:08:00</v>
      </c>
      <c r="F53">
        <f t="shared" si="7"/>
        <v>98</v>
      </c>
      <c r="G53" s="19">
        <f>IFERROR(VLOOKUP(A56, Efficiency!$A$2:$G$150, 6, 0), 0)</f>
        <v>0</v>
      </c>
    </row>
    <row r="54" spans="1:7" x14ac:dyDescent="0.35">
      <c r="A54" t="str">
        <f>break!A54</f>
        <v>Hyd_Mubeen Khan (1008565)</v>
      </c>
      <c r="B54" t="str">
        <f t="shared" si="3"/>
        <v>Mubeen Khan</v>
      </c>
      <c r="C54" s="18">
        <f t="shared" ca="1" si="4"/>
        <v>0.32777777777777778</v>
      </c>
      <c r="D54" s="18">
        <f t="shared" si="5"/>
        <v>0.20693287037037036</v>
      </c>
      <c r="E54" t="str">
        <f t="shared" si="6"/>
        <v>01:08:00</v>
      </c>
      <c r="F54">
        <f t="shared" si="7"/>
        <v>98</v>
      </c>
      <c r="G54" s="19">
        <f>IFERROR(VLOOKUP(A57, Efficiency!$A$2:$G$150, 6, 0), 0)</f>
        <v>0</v>
      </c>
    </row>
    <row r="55" spans="1:7" x14ac:dyDescent="0.35">
      <c r="A55" t="str">
        <f>break!A55</f>
        <v>Hyd_Mukesh Nagar (1008566)</v>
      </c>
      <c r="B55" t="str">
        <f t="shared" si="3"/>
        <v>Mukesh Nagar</v>
      </c>
      <c r="C55" s="18">
        <f t="shared" ca="1" si="4"/>
        <v>0.28541666666666665</v>
      </c>
      <c r="D55" s="18">
        <f t="shared" si="5"/>
        <v>0.20693287037037036</v>
      </c>
      <c r="E55" t="str">
        <f t="shared" si="6"/>
        <v>01:08:00</v>
      </c>
      <c r="F55">
        <f t="shared" si="7"/>
        <v>98</v>
      </c>
      <c r="G55" s="19">
        <f>IFERROR(VLOOKUP(A58, Efficiency!$A$2:$G$150, 6, 0), 0)</f>
        <v>0</v>
      </c>
    </row>
    <row r="56" spans="1:7" x14ac:dyDescent="0.35">
      <c r="A56" t="str">
        <f>break!A56</f>
        <v>Hyd_Nandu Kumar (1008567)</v>
      </c>
      <c r="B56" t="str">
        <f t="shared" si="3"/>
        <v>Nandu Kumar</v>
      </c>
      <c r="C56" s="18">
        <f t="shared" ca="1" si="4"/>
        <v>0.37083333333333335</v>
      </c>
      <c r="D56" s="18">
        <f t="shared" si="5"/>
        <v>0.20693287037037036</v>
      </c>
      <c r="E56" t="str">
        <f t="shared" si="6"/>
        <v>01:08:00</v>
      </c>
      <c r="F56">
        <f t="shared" si="7"/>
        <v>98</v>
      </c>
      <c r="G56" s="19">
        <f>IFERROR(VLOOKUP(A59, Efficiency!$A$2:$G$150, 6, 0), 0)</f>
        <v>0</v>
      </c>
    </row>
    <row r="57" spans="1:7" x14ac:dyDescent="0.35">
      <c r="A57" t="str">
        <f>break!A57</f>
        <v>Hyd_Narayan Singh (1008568)</v>
      </c>
      <c r="B57" t="str">
        <f t="shared" si="3"/>
        <v>Narayan Singh</v>
      </c>
      <c r="C57" s="18">
        <f t="shared" ca="1" si="4"/>
        <v>0.40833333333333338</v>
      </c>
      <c r="D57" s="18">
        <f t="shared" si="5"/>
        <v>0.20693287037037036</v>
      </c>
      <c r="E57" t="str">
        <f t="shared" si="6"/>
        <v>01:08:00</v>
      </c>
      <c r="F57">
        <f t="shared" si="7"/>
        <v>98</v>
      </c>
      <c r="G57" s="19">
        <f>IFERROR(VLOOKUP(A60, Efficiency!$A$2:$G$150, 6, 0), 0)</f>
        <v>0</v>
      </c>
    </row>
    <row r="58" spans="1:7" x14ac:dyDescent="0.35">
      <c r="A58" t="str">
        <f>break!A58</f>
        <v>Hyd_Neeraj Saxena (1008569)</v>
      </c>
      <c r="B58" t="str">
        <f t="shared" si="3"/>
        <v>Neeraj Saxena</v>
      </c>
      <c r="C58" s="18">
        <f t="shared" ca="1" si="4"/>
        <v>0.28888888888888892</v>
      </c>
      <c r="D58" s="18">
        <f t="shared" si="5"/>
        <v>0.20693287037037036</v>
      </c>
      <c r="E58" t="str">
        <f t="shared" si="6"/>
        <v>01:08:00</v>
      </c>
      <c r="F58">
        <f t="shared" si="7"/>
        <v>98</v>
      </c>
      <c r="G58" s="19">
        <f>IFERROR(VLOOKUP(A61, Efficiency!$A$2:$G$150, 6, 0), 0)</f>
        <v>0</v>
      </c>
    </row>
    <row r="59" spans="1:7" x14ac:dyDescent="0.35">
      <c r="A59" t="str">
        <f>break!A59</f>
        <v>Hyd_Neeru Mehta (1008570)</v>
      </c>
      <c r="B59" t="str">
        <f t="shared" si="3"/>
        <v>Neeru Mehta</v>
      </c>
      <c r="C59" s="18">
        <f t="shared" ca="1" si="4"/>
        <v>0.2986111111111111</v>
      </c>
      <c r="D59" s="18">
        <f t="shared" si="5"/>
        <v>0.20693287037037036</v>
      </c>
      <c r="E59" t="str">
        <f t="shared" si="6"/>
        <v>01:08:00</v>
      </c>
      <c r="F59">
        <f t="shared" si="7"/>
        <v>98</v>
      </c>
      <c r="G59" s="19">
        <f>IFERROR(VLOOKUP(A62, Efficiency!$A$2:$G$150, 6, 0), 0)</f>
        <v>0</v>
      </c>
    </row>
    <row r="60" spans="1:7" x14ac:dyDescent="0.35">
      <c r="A60" t="str">
        <f>break!A60</f>
        <v>Hyd_Nikita Panwalkar (1008571)</v>
      </c>
      <c r="B60" t="str">
        <f t="shared" si="3"/>
        <v>Nikita Panwalkar</v>
      </c>
      <c r="C60" s="18">
        <f t="shared" ca="1" si="4"/>
        <v>0.27986111111111112</v>
      </c>
      <c r="D60" s="18">
        <f t="shared" si="5"/>
        <v>0.20693287037037036</v>
      </c>
      <c r="E60" t="str">
        <f t="shared" si="6"/>
        <v>01:08:00</v>
      </c>
      <c r="F60">
        <f t="shared" si="7"/>
        <v>98</v>
      </c>
      <c r="G60" s="19">
        <f>IFERROR(VLOOKUP(A63, Efficiency!$A$2:$G$150, 6, 0), 0)</f>
        <v>0</v>
      </c>
    </row>
    <row r="61" spans="1:7" x14ac:dyDescent="0.35">
      <c r="A61" t="str">
        <f>break!A61</f>
        <v>Del_Sonaram Munda (1008642)</v>
      </c>
      <c r="B61" t="str">
        <f t="shared" si="3"/>
        <v>Sonaram Munda</v>
      </c>
      <c r="C61" s="18">
        <f t="shared" ca="1" si="4"/>
        <v>0.32222222222222224</v>
      </c>
      <c r="D61" s="18">
        <f t="shared" si="5"/>
        <v>0.20693287037037036</v>
      </c>
      <c r="E61" t="str">
        <f t="shared" si="6"/>
        <v>01:08:00</v>
      </c>
      <c r="F61">
        <f t="shared" si="7"/>
        <v>98</v>
      </c>
      <c r="G61" s="19">
        <f>IFERROR(VLOOKUP(A64, Efficiency!$A$2:$G$150, 6, 0), 0)</f>
        <v>0</v>
      </c>
    </row>
    <row r="62" spans="1:7" x14ac:dyDescent="0.35">
      <c r="A62" t="str">
        <f>break!A62</f>
        <v>Del_Sudama Kumar (1008643)</v>
      </c>
      <c r="B62" t="str">
        <f t="shared" si="3"/>
        <v>Sudama Kumar</v>
      </c>
      <c r="C62" s="18">
        <f t="shared" ca="1" si="4"/>
        <v>0.36319444444444443</v>
      </c>
      <c r="D62" s="18">
        <f t="shared" si="5"/>
        <v>0.20693287037037036</v>
      </c>
      <c r="E62" t="str">
        <f t="shared" si="6"/>
        <v>01:08:00</v>
      </c>
      <c r="F62">
        <f t="shared" si="7"/>
        <v>98</v>
      </c>
      <c r="G62" s="19">
        <f>IFERROR(VLOOKUP(A65, Efficiency!$A$2:$G$150, 6, 0), 0)</f>
        <v>0</v>
      </c>
    </row>
    <row r="63" spans="1:7" x14ac:dyDescent="0.35">
      <c r="A63" t="str">
        <f>break!A63</f>
        <v>Del_Sudhir Kumar (1008644)</v>
      </c>
      <c r="B63" t="str">
        <f t="shared" si="3"/>
        <v>Sudhir Kumar</v>
      </c>
      <c r="C63" s="18">
        <f t="shared" ca="1" si="4"/>
        <v>0.3659722222222222</v>
      </c>
      <c r="D63" s="18">
        <f t="shared" si="5"/>
        <v>0.20693287037037036</v>
      </c>
      <c r="E63" t="str">
        <f t="shared" si="6"/>
        <v>01:08:00</v>
      </c>
      <c r="F63">
        <f t="shared" si="7"/>
        <v>98</v>
      </c>
      <c r="G63" s="19">
        <f>IFERROR(VLOOKUP(A66, Efficiency!$A$2:$G$150, 6, 0), 0)</f>
        <v>0</v>
      </c>
    </row>
    <row r="64" spans="1:7" x14ac:dyDescent="0.35">
      <c r="A64" t="str">
        <f>break!A64</f>
        <v>Del_Sunil Kumar (1008645)</v>
      </c>
      <c r="B64" t="str">
        <f t="shared" si="3"/>
        <v>Sunil Kumar</v>
      </c>
      <c r="C64" s="18">
        <f t="shared" ca="1" si="4"/>
        <v>0.26458333333333334</v>
      </c>
      <c r="D64" s="18">
        <f t="shared" si="5"/>
        <v>0.20693287037037036</v>
      </c>
      <c r="E64" t="str">
        <f t="shared" si="6"/>
        <v>01:08:00</v>
      </c>
      <c r="F64">
        <f t="shared" si="7"/>
        <v>98</v>
      </c>
      <c r="G64" s="19">
        <f>IFERROR(VLOOKUP(A67, Efficiency!$A$2:$G$150, 6, 0), 0)</f>
        <v>0</v>
      </c>
    </row>
    <row r="65" spans="1:7" x14ac:dyDescent="0.35">
      <c r="A65" t="str">
        <f>break!A65</f>
        <v>Del_Sunil Kumar (1008646)</v>
      </c>
      <c r="B65" t="str">
        <f t="shared" si="3"/>
        <v>Sunil Kumar</v>
      </c>
      <c r="C65" s="18">
        <f t="shared" ca="1" si="4"/>
        <v>0.40486111111111112</v>
      </c>
      <c r="D65" s="18">
        <f t="shared" si="5"/>
        <v>0.20693287037037036</v>
      </c>
      <c r="E65" t="str">
        <f t="shared" si="6"/>
        <v>01:08:00</v>
      </c>
      <c r="F65">
        <f t="shared" si="7"/>
        <v>98</v>
      </c>
      <c r="G65" s="19">
        <f>IFERROR(VLOOKUP(A68, Efficiency!$A$2:$G$150, 6, 0), 0)</f>
        <v>0</v>
      </c>
    </row>
    <row r="66" spans="1:7" x14ac:dyDescent="0.35">
      <c r="A66" t="str">
        <f>break!A66</f>
        <v>Del_Sunita Chawla (1008647)</v>
      </c>
      <c r="B66" t="str">
        <f t="shared" si="3"/>
        <v>Sunita Chawla</v>
      </c>
      <c r="C66" s="18">
        <f t="shared" ca="1" si="4"/>
        <v>0.28402777777777777</v>
      </c>
      <c r="D66" s="18">
        <f t="shared" ref="D66:D97" si="8">VLOOKUP($A$2,EData,3,0)</f>
        <v>0.20693287037037036</v>
      </c>
      <c r="E66" t="str">
        <f t="shared" ref="E66:E97" si="9">VLOOKUP(TRIM(A66), BData, 9, 0)</f>
        <v>01:08:00</v>
      </c>
      <c r="F66">
        <f t="shared" ref="F66:F97" si="10">VLOOKUP($A$2,Pdata,2,0)</f>
        <v>98</v>
      </c>
      <c r="G66" s="19">
        <f>IFERROR(VLOOKUP(A69, Efficiency!$A$2:$G$150, 6, 0), 0)</f>
        <v>0</v>
      </c>
    </row>
    <row r="67" spans="1:7" x14ac:dyDescent="0.35">
      <c r="A67" t="str">
        <f>break!A67</f>
        <v>Del_Sunita Madnani (1008648)</v>
      </c>
      <c r="B67" t="str">
        <f t="shared" ref="B67:B130" si="11">MID(A67,FIND("_", A67,1)+1,FIND("(", A67)-FIND("_", A67)-2)</f>
        <v>Sunita Madnani</v>
      </c>
      <c r="C67" s="18">
        <f t="shared" ref="C67:C130" ca="1" si="12">TIME(RANDBETWEEN(6,9), RANDBETWEEN(0,59), 0)</f>
        <v>0.38819444444444445</v>
      </c>
      <c r="D67" s="18">
        <f t="shared" si="8"/>
        <v>0.20693287037037036</v>
      </c>
      <c r="E67" t="str">
        <f t="shared" si="9"/>
        <v>01:08:00</v>
      </c>
      <c r="F67">
        <f t="shared" si="10"/>
        <v>98</v>
      </c>
      <c r="G67" s="19">
        <f>IFERROR(VLOOKUP(A70, Efficiency!$A$2:$G$150, 6, 0), 0)</f>
        <v>0</v>
      </c>
    </row>
    <row r="68" spans="1:7" x14ac:dyDescent="0.35">
      <c r="A68" t="str">
        <f>break!A68</f>
        <v>Del_Surendra Kumar (1008649)</v>
      </c>
      <c r="B68" t="str">
        <f t="shared" si="11"/>
        <v>Surendra Kumar</v>
      </c>
      <c r="C68" s="18">
        <f t="shared" ca="1" si="12"/>
        <v>0.3576388888888889</v>
      </c>
      <c r="D68" s="18">
        <f t="shared" si="8"/>
        <v>0.20693287037037036</v>
      </c>
      <c r="E68" t="str">
        <f t="shared" si="9"/>
        <v>01:08:00</v>
      </c>
      <c r="F68">
        <f t="shared" si="10"/>
        <v>98</v>
      </c>
      <c r="G68" s="19">
        <f>IFERROR(VLOOKUP(A71, Efficiency!$A$2:$G$150, 6, 0), 0)</f>
        <v>0</v>
      </c>
    </row>
    <row r="69" spans="1:7" x14ac:dyDescent="0.35">
      <c r="A69" t="str">
        <f>break!A69</f>
        <v>Del_Surendranath Thakur (1008650)</v>
      </c>
      <c r="B69" t="str">
        <f t="shared" si="11"/>
        <v>Surendranath Thakur</v>
      </c>
      <c r="C69" s="18">
        <f t="shared" ca="1" si="12"/>
        <v>0.40138888888888885</v>
      </c>
      <c r="D69" s="18">
        <f t="shared" si="8"/>
        <v>0.20693287037037036</v>
      </c>
      <c r="E69" t="str">
        <f t="shared" si="9"/>
        <v>01:08:00</v>
      </c>
      <c r="F69">
        <f t="shared" si="10"/>
        <v>98</v>
      </c>
      <c r="G69" s="19">
        <f>IFERROR(VLOOKUP(A72, Efficiency!$A$2:$G$150, 6, 0), 0)</f>
        <v>0</v>
      </c>
    </row>
    <row r="70" spans="1:7" x14ac:dyDescent="0.35">
      <c r="A70" t="str">
        <f>break!A70</f>
        <v>Del_Sushma Khandelwal (1008651)</v>
      </c>
      <c r="B70" t="str">
        <f t="shared" si="11"/>
        <v>Sushma Khandelwal</v>
      </c>
      <c r="C70" s="18">
        <f t="shared" ca="1" si="12"/>
        <v>0.25347222222222221</v>
      </c>
      <c r="D70" s="18">
        <f t="shared" si="8"/>
        <v>0.20693287037037036</v>
      </c>
      <c r="E70" t="str">
        <f t="shared" si="9"/>
        <v>01:08:00</v>
      </c>
      <c r="F70">
        <f t="shared" si="10"/>
        <v>98</v>
      </c>
      <c r="G70" s="19">
        <f>IFERROR(VLOOKUP(A73, Efficiency!$A$2:$G$150, 6, 0), 0)</f>
        <v>0</v>
      </c>
    </row>
    <row r="71" spans="1:7" x14ac:dyDescent="0.35">
      <c r="A71" t="str">
        <f>break!A71</f>
        <v>Del_Swarnlata Borse (1008652)</v>
      </c>
      <c r="B71" t="str">
        <f t="shared" si="11"/>
        <v>Swarnlata Borse</v>
      </c>
      <c r="C71" s="18">
        <f t="shared" ca="1" si="12"/>
        <v>0.30972222222222223</v>
      </c>
      <c r="D71" s="18">
        <f t="shared" si="8"/>
        <v>0.20693287037037036</v>
      </c>
      <c r="E71" t="str">
        <f t="shared" si="9"/>
        <v>01:08:00</v>
      </c>
      <c r="F71">
        <f t="shared" si="10"/>
        <v>98</v>
      </c>
      <c r="G71" s="19">
        <f>IFERROR(VLOOKUP(A74, Efficiency!$A$2:$G$150, 6, 0), 0)</f>
        <v>0</v>
      </c>
    </row>
    <row r="72" spans="1:7" x14ac:dyDescent="0.35">
      <c r="A72" t="str">
        <f>break!A72</f>
        <v>Del_Syed Naved (1008653)</v>
      </c>
      <c r="B72" t="str">
        <f t="shared" si="11"/>
        <v>Syed Naved</v>
      </c>
      <c r="C72" s="18">
        <f t="shared" ca="1" si="12"/>
        <v>0.4055555555555555</v>
      </c>
      <c r="D72" s="18">
        <f t="shared" si="8"/>
        <v>0.20693287037037036</v>
      </c>
      <c r="E72" t="str">
        <f t="shared" si="9"/>
        <v>01:08:00</v>
      </c>
      <c r="F72">
        <f t="shared" si="10"/>
        <v>98</v>
      </c>
      <c r="G72" s="19">
        <f>IFERROR(VLOOKUP(A75, Efficiency!$A$2:$G$150, 6, 0), 0)</f>
        <v>0</v>
      </c>
    </row>
    <row r="73" spans="1:7" x14ac:dyDescent="0.35">
      <c r="A73" t="str">
        <f>break!A73</f>
        <v>Del_Syed Saqib (1008654)</v>
      </c>
      <c r="B73" t="str">
        <f t="shared" si="11"/>
        <v>Syed Saqib</v>
      </c>
      <c r="C73" s="18">
        <f t="shared" ca="1" si="12"/>
        <v>0.25486111111111109</v>
      </c>
      <c r="D73" s="18">
        <f t="shared" si="8"/>
        <v>0.20693287037037036</v>
      </c>
      <c r="E73" t="str">
        <f t="shared" si="9"/>
        <v>01:08:00</v>
      </c>
      <c r="F73">
        <f t="shared" si="10"/>
        <v>98</v>
      </c>
      <c r="G73" s="19">
        <f>IFERROR(VLOOKUP(A76, Efficiency!$A$2:$G$150, 6, 0), 0)</f>
        <v>0</v>
      </c>
    </row>
    <row r="74" spans="1:7" x14ac:dyDescent="0.35">
      <c r="A74" t="str">
        <f>break!A74</f>
        <v>Del_Syed Sohail (1008655)</v>
      </c>
      <c r="B74" t="str">
        <f t="shared" si="11"/>
        <v>Syed Sohail</v>
      </c>
      <c r="C74" s="18">
        <f t="shared" ca="1" si="12"/>
        <v>0.36180555555555555</v>
      </c>
      <c r="D74" s="18">
        <f t="shared" si="8"/>
        <v>0.20693287037037036</v>
      </c>
      <c r="E74" t="str">
        <f t="shared" si="9"/>
        <v>01:08:00</v>
      </c>
      <c r="F74">
        <f t="shared" si="10"/>
        <v>98</v>
      </c>
      <c r="G74" s="19">
        <f>IFERROR(VLOOKUP(A77, Efficiency!$A$2:$G$150, 6, 0), 0)</f>
        <v>0</v>
      </c>
    </row>
    <row r="75" spans="1:7" x14ac:dyDescent="0.35">
      <c r="A75" t="str">
        <f>break!A75</f>
        <v>Del_System Operator (1008656)</v>
      </c>
      <c r="B75" t="str">
        <f t="shared" si="11"/>
        <v>System Operator</v>
      </c>
      <c r="C75" s="18">
        <f t="shared" ca="1" si="12"/>
        <v>0.29444444444444445</v>
      </c>
      <c r="D75" s="18">
        <f t="shared" si="8"/>
        <v>0.20693287037037036</v>
      </c>
      <c r="E75" t="str">
        <f t="shared" si="9"/>
        <v>01:08:00</v>
      </c>
      <c r="F75">
        <f t="shared" si="10"/>
        <v>98</v>
      </c>
      <c r="G75" s="19">
        <f>IFERROR(VLOOKUP(A78, Efficiency!$A$2:$G$150, 6, 0), 0)</f>
        <v>0</v>
      </c>
    </row>
    <row r="76" spans="1:7" x14ac:dyDescent="0.35">
      <c r="A76" t="str">
        <f>break!A76</f>
        <v>Del_Tahira Qureshi (1008657)</v>
      </c>
      <c r="B76" t="str">
        <f t="shared" si="11"/>
        <v>Tahira Qureshi</v>
      </c>
      <c r="C76" s="18">
        <f t="shared" ca="1" si="12"/>
        <v>0.33263888888888887</v>
      </c>
      <c r="D76" s="18">
        <f t="shared" si="8"/>
        <v>0.20693287037037036</v>
      </c>
      <c r="E76" t="str">
        <f t="shared" si="9"/>
        <v>01:08:00</v>
      </c>
      <c r="F76">
        <f t="shared" si="10"/>
        <v>98</v>
      </c>
      <c r="G76" s="19">
        <f>IFERROR(VLOOKUP(A79, Efficiency!$A$2:$G$150, 6, 0), 0)</f>
        <v>0</v>
      </c>
    </row>
    <row r="77" spans="1:7" x14ac:dyDescent="0.35">
      <c r="A77" t="str">
        <f>break!A77</f>
        <v>Del_Tapas Chakraborty (1008658)</v>
      </c>
      <c r="B77" t="str">
        <f t="shared" si="11"/>
        <v>Tapas Chakraborty</v>
      </c>
      <c r="C77" s="18">
        <f t="shared" ca="1" si="12"/>
        <v>0.33194444444444443</v>
      </c>
      <c r="D77" s="18">
        <f t="shared" si="8"/>
        <v>0.20693287037037036</v>
      </c>
      <c r="E77" t="str">
        <f t="shared" si="9"/>
        <v>01:08:00</v>
      </c>
      <c r="F77">
        <f t="shared" si="10"/>
        <v>98</v>
      </c>
      <c r="G77" s="19">
        <f>IFERROR(VLOOKUP(A80, Efficiency!$A$2:$G$150, 6, 0), 0)</f>
        <v>0</v>
      </c>
    </row>
    <row r="78" spans="1:7" x14ac:dyDescent="0.35">
      <c r="A78" t="str">
        <f>break!A78</f>
        <v>Del_Tariq Akhlaq (1008659)</v>
      </c>
      <c r="B78" t="str">
        <f t="shared" si="11"/>
        <v>Tariq Akhlaq</v>
      </c>
      <c r="C78" s="18">
        <f t="shared" ca="1" si="12"/>
        <v>0.36805555555555558</v>
      </c>
      <c r="D78" s="18">
        <f t="shared" si="8"/>
        <v>0.20693287037037036</v>
      </c>
      <c r="E78" t="str">
        <f t="shared" si="9"/>
        <v>01:08:00</v>
      </c>
      <c r="F78">
        <f t="shared" si="10"/>
        <v>98</v>
      </c>
      <c r="G78" s="19">
        <f>IFERROR(VLOOKUP(A81, Efficiency!$A$2:$G$150, 6, 0), 0)</f>
        <v>0</v>
      </c>
    </row>
    <row r="79" spans="1:7" x14ac:dyDescent="0.35">
      <c r="A79" t="str">
        <f>break!A79</f>
        <v>Del_Tasneem Khan (1008660)</v>
      </c>
      <c r="B79" t="str">
        <f t="shared" si="11"/>
        <v>Tasneem Khan</v>
      </c>
      <c r="C79" s="18">
        <f t="shared" ca="1" si="12"/>
        <v>0.31527777777777777</v>
      </c>
      <c r="D79" s="18">
        <f t="shared" si="8"/>
        <v>0.20693287037037036</v>
      </c>
      <c r="E79" t="str">
        <f t="shared" si="9"/>
        <v>01:08:00</v>
      </c>
      <c r="F79">
        <f t="shared" si="10"/>
        <v>98</v>
      </c>
      <c r="G79" s="19">
        <f>IFERROR(VLOOKUP(A82, Efficiency!$A$2:$G$150, 6, 0), 0)</f>
        <v>0</v>
      </c>
    </row>
    <row r="80" spans="1:7" x14ac:dyDescent="0.35">
      <c r="A80" t="str">
        <f>break!A80</f>
        <v>Del_Emp_79 (1008738)</v>
      </c>
      <c r="B80" t="str">
        <f t="shared" si="11"/>
        <v>Emp_79</v>
      </c>
      <c r="C80" s="18">
        <f t="shared" ca="1" si="12"/>
        <v>0.3298611111111111</v>
      </c>
      <c r="D80" s="18">
        <f t="shared" si="8"/>
        <v>0.20693287037037036</v>
      </c>
      <c r="E80" t="str">
        <f t="shared" si="9"/>
        <v>01:08:00</v>
      </c>
      <c r="F80">
        <f t="shared" si="10"/>
        <v>98</v>
      </c>
      <c r="G80" s="19">
        <f>IFERROR(VLOOKUP(A83, Efficiency!$A$2:$G$150, 6, 0), 0)</f>
        <v>0</v>
      </c>
    </row>
    <row r="81" spans="1:7" x14ac:dyDescent="0.35">
      <c r="A81" t="str">
        <f>break!A81</f>
        <v>Del_Emp_80 (1008739)</v>
      </c>
      <c r="B81" t="str">
        <f t="shared" si="11"/>
        <v>Emp_80</v>
      </c>
      <c r="C81" s="18">
        <f t="shared" ca="1" si="12"/>
        <v>0.37291666666666662</v>
      </c>
      <c r="D81" s="18">
        <f t="shared" si="8"/>
        <v>0.20693287037037036</v>
      </c>
      <c r="E81" t="str">
        <f t="shared" si="9"/>
        <v>01:08:00</v>
      </c>
      <c r="F81">
        <f t="shared" si="10"/>
        <v>98</v>
      </c>
      <c r="G81" s="19">
        <f>IFERROR(VLOOKUP(A84, Efficiency!$A$2:$G$150, 6, 0), 0)</f>
        <v>0</v>
      </c>
    </row>
    <row r="82" spans="1:7" x14ac:dyDescent="0.35">
      <c r="A82" t="str">
        <f>break!A82</f>
        <v>Del_Emp_81 (1008740)</v>
      </c>
      <c r="B82" t="str">
        <f t="shared" si="11"/>
        <v>Emp_81</v>
      </c>
      <c r="C82" s="18">
        <f t="shared" ca="1" si="12"/>
        <v>0.3444444444444445</v>
      </c>
      <c r="D82" s="18">
        <f t="shared" si="8"/>
        <v>0.20693287037037036</v>
      </c>
      <c r="E82" t="str">
        <f t="shared" si="9"/>
        <v>01:08:00</v>
      </c>
      <c r="F82">
        <f t="shared" si="10"/>
        <v>98</v>
      </c>
      <c r="G82" s="19">
        <f>IFERROR(VLOOKUP(A85, Efficiency!$A$2:$G$150, 6, 0), 0)</f>
        <v>0</v>
      </c>
    </row>
    <row r="83" spans="1:7" x14ac:dyDescent="0.35">
      <c r="A83" t="str">
        <f>break!A83</f>
        <v>Del_Emp_82 (1008741)</v>
      </c>
      <c r="B83" t="str">
        <f t="shared" si="11"/>
        <v>Emp_82</v>
      </c>
      <c r="C83" s="18">
        <f t="shared" ca="1" si="12"/>
        <v>0.25069444444444444</v>
      </c>
      <c r="D83" s="18">
        <f t="shared" si="8"/>
        <v>0.20693287037037036</v>
      </c>
      <c r="E83" t="str">
        <f t="shared" si="9"/>
        <v>01:08:00</v>
      </c>
      <c r="F83">
        <f t="shared" si="10"/>
        <v>98</v>
      </c>
      <c r="G83" s="19">
        <f>IFERROR(VLOOKUP(A86, Efficiency!$A$2:$G$150, 6, 0), 0)</f>
        <v>0</v>
      </c>
    </row>
    <row r="84" spans="1:7" x14ac:dyDescent="0.35">
      <c r="A84" t="str">
        <f>break!A84</f>
        <v>Del_Emp_83 (1008742)</v>
      </c>
      <c r="B84" t="str">
        <f t="shared" si="11"/>
        <v>Emp_83</v>
      </c>
      <c r="C84" s="18">
        <f t="shared" ca="1" si="12"/>
        <v>0.38194444444444442</v>
      </c>
      <c r="D84" s="18">
        <f t="shared" si="8"/>
        <v>0.20693287037037036</v>
      </c>
      <c r="E84" t="str">
        <f t="shared" si="9"/>
        <v>01:08:00</v>
      </c>
      <c r="F84">
        <f t="shared" si="10"/>
        <v>98</v>
      </c>
      <c r="G84" s="19">
        <f>IFERROR(VLOOKUP(A87, Efficiency!$A$2:$G$150, 6, 0), 0)</f>
        <v>0</v>
      </c>
    </row>
    <row r="85" spans="1:7" x14ac:dyDescent="0.35">
      <c r="A85" t="str">
        <f>break!A85</f>
        <v>Del_Emp_84 (1008743)</v>
      </c>
      <c r="B85" t="str">
        <f t="shared" si="11"/>
        <v>Emp_84</v>
      </c>
      <c r="C85" s="18">
        <f t="shared" ca="1" si="12"/>
        <v>0.375</v>
      </c>
      <c r="D85" s="18">
        <f t="shared" si="8"/>
        <v>0.20693287037037036</v>
      </c>
      <c r="E85" t="str">
        <f t="shared" si="9"/>
        <v>01:08:00</v>
      </c>
      <c r="F85">
        <f t="shared" si="10"/>
        <v>98</v>
      </c>
      <c r="G85" s="19">
        <f>IFERROR(VLOOKUP(A88, Efficiency!$A$2:$G$150, 6, 0), 0)</f>
        <v>0</v>
      </c>
    </row>
    <row r="86" spans="1:7" x14ac:dyDescent="0.35">
      <c r="A86" t="str">
        <f>break!A86</f>
        <v>Del_Emp_85 (1008744)</v>
      </c>
      <c r="B86" t="str">
        <f t="shared" si="11"/>
        <v>Emp_85</v>
      </c>
      <c r="C86" s="18">
        <f t="shared" ca="1" si="12"/>
        <v>0.40625</v>
      </c>
      <c r="D86" s="18">
        <f t="shared" si="8"/>
        <v>0.20693287037037036</v>
      </c>
      <c r="E86" t="str">
        <f t="shared" si="9"/>
        <v>01:08:00</v>
      </c>
      <c r="F86">
        <f t="shared" si="10"/>
        <v>98</v>
      </c>
      <c r="G86" s="19">
        <f>IFERROR(VLOOKUP(A89, Efficiency!$A$2:$G$150, 6, 0), 0)</f>
        <v>0</v>
      </c>
    </row>
    <row r="87" spans="1:7" x14ac:dyDescent="0.35">
      <c r="A87" t="str">
        <f>break!A87</f>
        <v>Del_Emp_86 (1008745)</v>
      </c>
      <c r="B87" t="str">
        <f t="shared" si="11"/>
        <v>Emp_86</v>
      </c>
      <c r="C87" s="18">
        <f t="shared" ca="1" si="12"/>
        <v>0.29791666666666666</v>
      </c>
      <c r="D87" s="18">
        <f t="shared" si="8"/>
        <v>0.20693287037037036</v>
      </c>
      <c r="E87" t="str">
        <f t="shared" si="9"/>
        <v>01:08:00</v>
      </c>
      <c r="F87">
        <f t="shared" si="10"/>
        <v>98</v>
      </c>
      <c r="G87" s="19">
        <f>IFERROR(VLOOKUP(A90, Efficiency!$A$2:$G$150, 6, 0), 0)</f>
        <v>0</v>
      </c>
    </row>
    <row r="88" spans="1:7" x14ac:dyDescent="0.35">
      <c r="A88" t="str">
        <f>break!A88</f>
        <v>Del_Emp_87 (1008746)</v>
      </c>
      <c r="B88" t="str">
        <f t="shared" si="11"/>
        <v>Emp_87</v>
      </c>
      <c r="C88" s="18">
        <f t="shared" ca="1" si="12"/>
        <v>0.25625000000000003</v>
      </c>
      <c r="D88" s="18">
        <f t="shared" si="8"/>
        <v>0.20693287037037036</v>
      </c>
      <c r="E88" t="str">
        <f t="shared" si="9"/>
        <v>01:08:00</v>
      </c>
      <c r="F88">
        <f t="shared" si="10"/>
        <v>98</v>
      </c>
      <c r="G88" s="19">
        <f>IFERROR(VLOOKUP(A91, Efficiency!$A$2:$G$150, 6, 0), 0)</f>
        <v>0</v>
      </c>
    </row>
    <row r="89" spans="1:7" x14ac:dyDescent="0.35">
      <c r="A89" t="str">
        <f>break!A89</f>
        <v>Del_Emp_88 (1008747)</v>
      </c>
      <c r="B89" t="str">
        <f t="shared" si="11"/>
        <v>Emp_88</v>
      </c>
      <c r="C89" s="18">
        <f t="shared" ca="1" si="12"/>
        <v>0.36388888888888887</v>
      </c>
      <c r="D89" s="18">
        <f t="shared" si="8"/>
        <v>0.20693287037037036</v>
      </c>
      <c r="E89" t="str">
        <f t="shared" si="9"/>
        <v>01:08:00</v>
      </c>
      <c r="F89">
        <f t="shared" si="10"/>
        <v>98</v>
      </c>
      <c r="G89" s="19">
        <f>IFERROR(VLOOKUP(A92, Efficiency!$A$2:$G$150, 6, 0), 0)</f>
        <v>0</v>
      </c>
    </row>
    <row r="90" spans="1:7" x14ac:dyDescent="0.35">
      <c r="A90" t="str">
        <f>break!A90</f>
        <v>Del_Emp_89 (1008748)</v>
      </c>
      <c r="B90" t="str">
        <f t="shared" si="11"/>
        <v>Emp_89</v>
      </c>
      <c r="C90" s="18">
        <f t="shared" ca="1" si="12"/>
        <v>0.26111111111111113</v>
      </c>
      <c r="D90" s="18">
        <f t="shared" si="8"/>
        <v>0.20693287037037036</v>
      </c>
      <c r="E90" t="str">
        <f t="shared" si="9"/>
        <v>01:08:00</v>
      </c>
      <c r="F90">
        <f t="shared" si="10"/>
        <v>98</v>
      </c>
      <c r="G90" s="19">
        <f>IFERROR(VLOOKUP(A93, Efficiency!$A$2:$G$150, 6, 0), 0)</f>
        <v>0</v>
      </c>
    </row>
    <row r="91" spans="1:7" x14ac:dyDescent="0.35">
      <c r="A91" t="str">
        <f>break!A91</f>
        <v>Del_Emp_90 (1008749)</v>
      </c>
      <c r="B91" t="str">
        <f t="shared" si="11"/>
        <v>Emp_90</v>
      </c>
      <c r="C91" s="18">
        <f t="shared" ca="1" si="12"/>
        <v>0.34791666666666665</v>
      </c>
      <c r="D91" s="18">
        <f t="shared" si="8"/>
        <v>0.20693287037037036</v>
      </c>
      <c r="E91" t="str">
        <f t="shared" si="9"/>
        <v>01:08:00</v>
      </c>
      <c r="F91">
        <f t="shared" si="10"/>
        <v>98</v>
      </c>
      <c r="G91" s="19">
        <f>IFERROR(VLOOKUP(A94, Efficiency!$A$2:$G$150, 6, 0), 0)</f>
        <v>0</v>
      </c>
    </row>
    <row r="92" spans="1:7" x14ac:dyDescent="0.35">
      <c r="A92" t="str">
        <f>break!A92</f>
        <v>Del_Emp_91 (1008750)</v>
      </c>
      <c r="B92" t="str">
        <f t="shared" si="11"/>
        <v>Emp_91</v>
      </c>
      <c r="C92" s="18">
        <f t="shared" ca="1" si="12"/>
        <v>0.2986111111111111</v>
      </c>
      <c r="D92" s="18">
        <f t="shared" si="8"/>
        <v>0.20693287037037036</v>
      </c>
      <c r="E92" t="str">
        <f t="shared" si="9"/>
        <v>01:08:00</v>
      </c>
      <c r="F92">
        <f t="shared" si="10"/>
        <v>98</v>
      </c>
      <c r="G92" s="19">
        <f>IFERROR(VLOOKUP(A95, Efficiency!$A$2:$G$150, 6, 0), 0)</f>
        <v>0</v>
      </c>
    </row>
    <row r="93" spans="1:7" x14ac:dyDescent="0.35">
      <c r="A93" t="str">
        <f>break!A93</f>
        <v>Del_Emp_92 (1008751)</v>
      </c>
      <c r="B93" t="str">
        <f t="shared" si="11"/>
        <v>Emp_92</v>
      </c>
      <c r="C93" s="18">
        <f t="shared" ca="1" si="12"/>
        <v>0.34375</v>
      </c>
      <c r="D93" s="18">
        <f t="shared" si="8"/>
        <v>0.20693287037037036</v>
      </c>
      <c r="E93" t="str">
        <f t="shared" si="9"/>
        <v>01:08:00</v>
      </c>
      <c r="F93">
        <f t="shared" si="10"/>
        <v>98</v>
      </c>
      <c r="G93" s="19">
        <f>IFERROR(VLOOKUP(A96, Efficiency!$A$2:$G$150, 6, 0), 0)</f>
        <v>0</v>
      </c>
    </row>
    <row r="94" spans="1:7" x14ac:dyDescent="0.35">
      <c r="A94" t="str">
        <f>break!A94</f>
        <v>Del_Emp_93 (1008752)</v>
      </c>
      <c r="B94" t="str">
        <f t="shared" si="11"/>
        <v>Emp_93</v>
      </c>
      <c r="C94" s="18">
        <f t="shared" ca="1" si="12"/>
        <v>0.37152777777777773</v>
      </c>
      <c r="D94" s="18">
        <f t="shared" si="8"/>
        <v>0.20693287037037036</v>
      </c>
      <c r="E94" t="str">
        <f t="shared" si="9"/>
        <v>01:08:00</v>
      </c>
      <c r="F94">
        <f t="shared" si="10"/>
        <v>98</v>
      </c>
      <c r="G94" s="19">
        <f>IFERROR(VLOOKUP(A97, Efficiency!$A$2:$G$150, 6, 0), 0)</f>
        <v>0</v>
      </c>
    </row>
    <row r="95" spans="1:7" x14ac:dyDescent="0.35">
      <c r="A95" t="str">
        <f>break!A95</f>
        <v>Del_Emp_94 (1008753)</v>
      </c>
      <c r="B95" t="str">
        <f t="shared" si="11"/>
        <v>Emp_94</v>
      </c>
      <c r="C95" s="18">
        <f t="shared" ca="1" si="12"/>
        <v>0.30486111111111108</v>
      </c>
      <c r="D95" s="18">
        <f t="shared" si="8"/>
        <v>0.20693287037037036</v>
      </c>
      <c r="E95" t="str">
        <f t="shared" si="9"/>
        <v>01:08:00</v>
      </c>
      <c r="F95">
        <f t="shared" si="10"/>
        <v>98</v>
      </c>
      <c r="G95" s="19">
        <f>IFERROR(VLOOKUP(A98, Efficiency!$A$2:$G$150, 6, 0), 0)</f>
        <v>0</v>
      </c>
    </row>
    <row r="96" spans="1:7" x14ac:dyDescent="0.35">
      <c r="A96" t="str">
        <f>break!A96</f>
        <v>Del_Emp_95 (1008754)</v>
      </c>
      <c r="B96" t="str">
        <f t="shared" si="11"/>
        <v>Emp_95</v>
      </c>
      <c r="C96" s="18">
        <f t="shared" ca="1" si="12"/>
        <v>0.30902777777777779</v>
      </c>
      <c r="D96" s="18">
        <f t="shared" si="8"/>
        <v>0.20693287037037036</v>
      </c>
      <c r="E96" t="str">
        <f t="shared" si="9"/>
        <v>01:08:00</v>
      </c>
      <c r="F96">
        <f t="shared" si="10"/>
        <v>98</v>
      </c>
      <c r="G96" s="19">
        <f>IFERROR(VLOOKUP(A99, Efficiency!$A$2:$G$150, 6, 0), 0)</f>
        <v>0</v>
      </c>
    </row>
    <row r="97" spans="1:7" x14ac:dyDescent="0.35">
      <c r="A97" t="str">
        <f>break!A97</f>
        <v>Del_Emp_96 (1008755)</v>
      </c>
      <c r="B97" t="str">
        <f t="shared" si="11"/>
        <v>Emp_96</v>
      </c>
      <c r="C97" s="18">
        <f t="shared" ca="1" si="12"/>
        <v>0.34513888888888888</v>
      </c>
      <c r="D97" s="18">
        <f t="shared" si="8"/>
        <v>0.20693287037037036</v>
      </c>
      <c r="E97" t="str">
        <f t="shared" si="9"/>
        <v>01:08:00</v>
      </c>
      <c r="F97">
        <f t="shared" si="10"/>
        <v>98</v>
      </c>
      <c r="G97" s="19">
        <f>IFERROR(VLOOKUP(A100, Efficiency!$A$2:$G$150, 6, 0), 0)</f>
        <v>0</v>
      </c>
    </row>
    <row r="98" spans="1:7" x14ac:dyDescent="0.35">
      <c r="A98" t="str">
        <f>break!A98</f>
        <v>Del_Emp_97 (1008756)</v>
      </c>
      <c r="B98" t="str">
        <f t="shared" si="11"/>
        <v>Emp_97</v>
      </c>
      <c r="C98" s="18">
        <f t="shared" ca="1" si="12"/>
        <v>0.26458333333333334</v>
      </c>
      <c r="D98" s="18">
        <f t="shared" ref="D98:D129" si="13">VLOOKUP($A$2,EData,3,0)</f>
        <v>0.20693287037037036</v>
      </c>
      <c r="E98" t="str">
        <f t="shared" ref="E98:E129" si="14">VLOOKUP(TRIM(A98), BData, 9, 0)</f>
        <v>01:08:00</v>
      </c>
      <c r="F98">
        <f t="shared" ref="F98:F129" si="15">VLOOKUP($A$2,Pdata,2,0)</f>
        <v>98</v>
      </c>
      <c r="G98" s="19">
        <f>IFERROR(VLOOKUP(A101, Efficiency!$A$2:$G$150, 6, 0), 0)</f>
        <v>0</v>
      </c>
    </row>
    <row r="99" spans="1:7" x14ac:dyDescent="0.35">
      <c r="A99" t="str">
        <f>break!A99</f>
        <v>Del_Emp_98 (1008757)</v>
      </c>
      <c r="B99" t="str">
        <f t="shared" si="11"/>
        <v>Emp_98</v>
      </c>
      <c r="C99" s="18">
        <f t="shared" ca="1" si="12"/>
        <v>0.37361111111111112</v>
      </c>
      <c r="D99" s="18">
        <f t="shared" si="13"/>
        <v>0.20693287037037036</v>
      </c>
      <c r="E99" t="str">
        <f t="shared" si="14"/>
        <v>01:08:00</v>
      </c>
      <c r="F99">
        <f t="shared" si="15"/>
        <v>98</v>
      </c>
      <c r="G99" s="19">
        <f>IFERROR(VLOOKUP(A102, Efficiency!$A$2:$G$150, 6, 0), 0)</f>
        <v>0</v>
      </c>
    </row>
    <row r="100" spans="1:7" x14ac:dyDescent="0.35">
      <c r="A100" t="str">
        <f>break!A100</f>
        <v>Del_Emp_99 (1008758)</v>
      </c>
      <c r="B100" t="str">
        <f t="shared" si="11"/>
        <v>Emp_99</v>
      </c>
      <c r="C100" s="18">
        <f t="shared" ca="1" si="12"/>
        <v>0.28125</v>
      </c>
      <c r="D100" s="18">
        <f t="shared" si="13"/>
        <v>0.20693287037037036</v>
      </c>
      <c r="E100" t="str">
        <f t="shared" si="14"/>
        <v>01:08:00</v>
      </c>
      <c r="F100">
        <f t="shared" si="15"/>
        <v>98</v>
      </c>
      <c r="G100" s="19">
        <f>IFERROR(VLOOKUP(A103, Efficiency!$A$2:$G$150, 6, 0), 0)</f>
        <v>0</v>
      </c>
    </row>
    <row r="101" spans="1:7" x14ac:dyDescent="0.35">
      <c r="A101" t="str">
        <f>break!A101</f>
        <v>Del_Emp_100 (1008759)</v>
      </c>
      <c r="B101" t="str">
        <f t="shared" si="11"/>
        <v>Emp_100</v>
      </c>
      <c r="C101" s="18">
        <f t="shared" ca="1" si="12"/>
        <v>0.40138888888888885</v>
      </c>
      <c r="D101" s="18">
        <f t="shared" si="13"/>
        <v>0.20693287037037036</v>
      </c>
      <c r="E101" t="str">
        <f t="shared" si="14"/>
        <v>01:08:00</v>
      </c>
      <c r="F101">
        <f t="shared" si="15"/>
        <v>98</v>
      </c>
      <c r="G101" s="19">
        <f>IFERROR(VLOOKUP(A104, Efficiency!$A$2:$G$150, 6, 0), 0)</f>
        <v>0</v>
      </c>
    </row>
    <row r="102" spans="1:7" x14ac:dyDescent="0.35">
      <c r="A102" t="str">
        <f>break!A102</f>
        <v>Del_Emp_101 (1008760)</v>
      </c>
      <c r="B102" t="str">
        <f t="shared" si="11"/>
        <v>Emp_101</v>
      </c>
      <c r="C102" s="18">
        <f t="shared" ca="1" si="12"/>
        <v>0.30624999999999997</v>
      </c>
      <c r="D102" s="18">
        <f t="shared" si="13"/>
        <v>0.20693287037037036</v>
      </c>
      <c r="E102" t="str">
        <f t="shared" si="14"/>
        <v>01:08:00</v>
      </c>
      <c r="F102">
        <f t="shared" si="15"/>
        <v>98</v>
      </c>
      <c r="G102" s="19">
        <f>IFERROR(VLOOKUP(A105, Efficiency!$A$2:$G$150, 6, 0), 0)</f>
        <v>0</v>
      </c>
    </row>
    <row r="103" spans="1:7" x14ac:dyDescent="0.35">
      <c r="A103" t="str">
        <f>break!A103</f>
        <v>Del_Emp_102 (1008761)</v>
      </c>
      <c r="B103" t="str">
        <f t="shared" si="11"/>
        <v>Emp_102</v>
      </c>
      <c r="C103" s="18">
        <f t="shared" ca="1" si="12"/>
        <v>0.38611111111111113</v>
      </c>
      <c r="D103" s="18">
        <f t="shared" si="13"/>
        <v>0.20693287037037036</v>
      </c>
      <c r="E103" t="str">
        <f t="shared" si="14"/>
        <v>01:08:00</v>
      </c>
      <c r="F103">
        <f t="shared" si="15"/>
        <v>98</v>
      </c>
      <c r="G103" s="19">
        <f>IFERROR(VLOOKUP(A106, Efficiency!$A$2:$G$150, 6, 0), 0)</f>
        <v>0</v>
      </c>
    </row>
    <row r="104" spans="1:7" x14ac:dyDescent="0.35">
      <c r="A104" t="str">
        <f>break!A104</f>
        <v>Del_Emp_103 (1008762)</v>
      </c>
      <c r="B104" t="str">
        <f t="shared" si="11"/>
        <v>Emp_103</v>
      </c>
      <c r="C104" s="18">
        <f t="shared" ca="1" si="12"/>
        <v>0.33124999999999999</v>
      </c>
      <c r="D104" s="18">
        <f t="shared" si="13"/>
        <v>0.20693287037037036</v>
      </c>
      <c r="E104" t="str">
        <f t="shared" si="14"/>
        <v>01:08:00</v>
      </c>
      <c r="F104">
        <f t="shared" si="15"/>
        <v>98</v>
      </c>
      <c r="G104" s="19">
        <f>IFERROR(VLOOKUP(A107, Efficiency!$A$2:$G$150, 6, 0), 0)</f>
        <v>0</v>
      </c>
    </row>
    <row r="105" spans="1:7" x14ac:dyDescent="0.35">
      <c r="A105" t="str">
        <f>break!A105</f>
        <v>Del_Emp_104 (1008763)</v>
      </c>
      <c r="B105" t="str">
        <f t="shared" si="11"/>
        <v>Emp_104</v>
      </c>
      <c r="C105" s="18">
        <f t="shared" ca="1" si="12"/>
        <v>0.29375000000000001</v>
      </c>
      <c r="D105" s="18">
        <f t="shared" si="13"/>
        <v>0.20693287037037036</v>
      </c>
      <c r="E105" t="str">
        <f t="shared" si="14"/>
        <v>01:08:00</v>
      </c>
      <c r="F105">
        <f t="shared" si="15"/>
        <v>98</v>
      </c>
      <c r="G105" s="19">
        <f>IFERROR(VLOOKUP(A108, Efficiency!$A$2:$G$150, 6, 0), 0)</f>
        <v>0</v>
      </c>
    </row>
    <row r="106" spans="1:7" x14ac:dyDescent="0.35">
      <c r="A106" t="str">
        <f>break!A106</f>
        <v>Del_Emp_105 (1008764)</v>
      </c>
      <c r="B106" t="str">
        <f t="shared" si="11"/>
        <v>Emp_105</v>
      </c>
      <c r="C106" s="18">
        <f t="shared" ca="1" si="12"/>
        <v>0.38819444444444445</v>
      </c>
      <c r="D106" s="18">
        <f t="shared" si="13"/>
        <v>0.20693287037037036</v>
      </c>
      <c r="E106" t="str">
        <f t="shared" si="14"/>
        <v>01:08:00</v>
      </c>
      <c r="F106">
        <f t="shared" si="15"/>
        <v>98</v>
      </c>
      <c r="G106" s="19">
        <f>IFERROR(VLOOKUP(A109, Efficiency!$A$2:$G$150, 6, 0), 0)</f>
        <v>0</v>
      </c>
    </row>
    <row r="107" spans="1:7" x14ac:dyDescent="0.35">
      <c r="A107" t="str">
        <f>break!A107</f>
        <v>Del_Emp_106 (1008765)</v>
      </c>
      <c r="B107" t="str">
        <f t="shared" si="11"/>
        <v>Emp_106</v>
      </c>
      <c r="C107" s="18">
        <f t="shared" ca="1" si="12"/>
        <v>0.40416666666666662</v>
      </c>
      <c r="D107" s="18">
        <f t="shared" si="13"/>
        <v>0.20693287037037036</v>
      </c>
      <c r="E107" t="str">
        <f t="shared" si="14"/>
        <v>01:08:00</v>
      </c>
      <c r="F107">
        <f t="shared" si="15"/>
        <v>98</v>
      </c>
      <c r="G107" s="19">
        <f>IFERROR(VLOOKUP(A110, Efficiency!$A$2:$G$150, 6, 0), 0)</f>
        <v>0</v>
      </c>
    </row>
    <row r="108" spans="1:7" x14ac:dyDescent="0.35">
      <c r="A108" t="str">
        <f>break!A108</f>
        <v>Del_Emp_107 (1008766)</v>
      </c>
      <c r="B108" t="str">
        <f t="shared" si="11"/>
        <v>Emp_107</v>
      </c>
      <c r="C108" s="18">
        <f t="shared" ca="1" si="12"/>
        <v>0.29305555555555557</v>
      </c>
      <c r="D108" s="18">
        <f t="shared" si="13"/>
        <v>0.20693287037037036</v>
      </c>
      <c r="E108" t="str">
        <f t="shared" si="14"/>
        <v>01:08:00</v>
      </c>
      <c r="F108">
        <f t="shared" si="15"/>
        <v>98</v>
      </c>
      <c r="G108" s="19">
        <f>IFERROR(VLOOKUP(A111, Efficiency!$A$2:$G$150, 6, 0), 0)</f>
        <v>0</v>
      </c>
    </row>
    <row r="109" spans="1:7" x14ac:dyDescent="0.35">
      <c r="A109" t="str">
        <f>break!A109</f>
        <v>Del_Emp_108 (1008767)</v>
      </c>
      <c r="B109" t="str">
        <f t="shared" si="11"/>
        <v>Emp_108</v>
      </c>
      <c r="C109" s="18">
        <f t="shared" ca="1" si="12"/>
        <v>0.26041666666666669</v>
      </c>
      <c r="D109" s="18">
        <f t="shared" si="13"/>
        <v>0.20693287037037036</v>
      </c>
      <c r="E109" t="str">
        <f t="shared" si="14"/>
        <v>01:08:00</v>
      </c>
      <c r="F109">
        <f t="shared" si="15"/>
        <v>98</v>
      </c>
      <c r="G109" s="19">
        <f>IFERROR(VLOOKUP(A112, Efficiency!$A$2:$G$150, 6, 0), 0)</f>
        <v>0</v>
      </c>
    </row>
    <row r="110" spans="1:7" x14ac:dyDescent="0.35">
      <c r="A110" t="str">
        <f>break!A110</f>
        <v>Del_Emp_109 (1008768)</v>
      </c>
      <c r="B110" t="str">
        <f t="shared" si="11"/>
        <v>Emp_109</v>
      </c>
      <c r="C110" s="18">
        <f t="shared" ca="1" si="12"/>
        <v>0.28055555555555556</v>
      </c>
      <c r="D110" s="18">
        <f t="shared" si="13"/>
        <v>0.20693287037037036</v>
      </c>
      <c r="E110" t="str">
        <f t="shared" si="14"/>
        <v>01:08:00</v>
      </c>
      <c r="F110">
        <f t="shared" si="15"/>
        <v>98</v>
      </c>
      <c r="G110" s="19">
        <f>IFERROR(VLOOKUP(A113, Efficiency!$A$2:$G$150, 6, 0), 0)</f>
        <v>0</v>
      </c>
    </row>
    <row r="111" spans="1:7" x14ac:dyDescent="0.35">
      <c r="A111" t="str">
        <f>break!A111</f>
        <v>Del_Emp_110 (1008769)</v>
      </c>
      <c r="B111" t="str">
        <f t="shared" si="11"/>
        <v>Emp_110</v>
      </c>
      <c r="C111" s="18">
        <f t="shared" ca="1" si="12"/>
        <v>0.39097222222222222</v>
      </c>
      <c r="D111" s="18">
        <f t="shared" si="13"/>
        <v>0.20693287037037036</v>
      </c>
      <c r="E111" t="str">
        <f t="shared" si="14"/>
        <v>01:08:00</v>
      </c>
      <c r="F111">
        <f t="shared" si="15"/>
        <v>98</v>
      </c>
      <c r="G111" s="19">
        <f>IFERROR(VLOOKUP(A114, Efficiency!$A$2:$G$150, 6, 0), 0)</f>
        <v>0</v>
      </c>
    </row>
    <row r="112" spans="1:7" x14ac:dyDescent="0.35">
      <c r="A112" t="str">
        <f>break!A112</f>
        <v>Del_Emp_111 (1008770)</v>
      </c>
      <c r="B112" t="str">
        <f t="shared" si="11"/>
        <v>Emp_111</v>
      </c>
      <c r="C112" s="18">
        <f t="shared" ca="1" si="12"/>
        <v>0.27430555555555552</v>
      </c>
      <c r="D112" s="18">
        <f t="shared" si="13"/>
        <v>0.20693287037037036</v>
      </c>
      <c r="E112" t="str">
        <f t="shared" si="14"/>
        <v>01:08:00</v>
      </c>
      <c r="F112">
        <f t="shared" si="15"/>
        <v>98</v>
      </c>
      <c r="G112" s="19">
        <f>IFERROR(VLOOKUP(A115, Efficiency!$A$2:$G$150, 6, 0), 0)</f>
        <v>0</v>
      </c>
    </row>
    <row r="113" spans="1:7" x14ac:dyDescent="0.35">
      <c r="A113" t="str">
        <f>break!A113</f>
        <v>Del_Emp_112 (1008771)</v>
      </c>
      <c r="B113" t="str">
        <f t="shared" si="11"/>
        <v>Emp_112</v>
      </c>
      <c r="C113" s="18">
        <f t="shared" ca="1" si="12"/>
        <v>0.28680555555555554</v>
      </c>
      <c r="D113" s="18">
        <f t="shared" si="13"/>
        <v>0.20693287037037036</v>
      </c>
      <c r="E113" t="str">
        <f t="shared" si="14"/>
        <v>01:08:00</v>
      </c>
      <c r="F113">
        <f t="shared" si="15"/>
        <v>98</v>
      </c>
      <c r="G113" s="19">
        <f>IFERROR(VLOOKUP(A116, Efficiency!$A$2:$G$150, 6, 0), 0)</f>
        <v>0</v>
      </c>
    </row>
    <row r="114" spans="1:7" x14ac:dyDescent="0.35">
      <c r="A114" t="str">
        <f>break!A114</f>
        <v>Del_Emp_113 (1008772)</v>
      </c>
      <c r="B114" t="str">
        <f t="shared" si="11"/>
        <v>Emp_113</v>
      </c>
      <c r="C114" s="18">
        <f t="shared" ca="1" si="12"/>
        <v>0.29236111111111113</v>
      </c>
      <c r="D114" s="18">
        <f t="shared" si="13"/>
        <v>0.20693287037037036</v>
      </c>
      <c r="E114" t="str">
        <f t="shared" si="14"/>
        <v>01:08:00</v>
      </c>
      <c r="F114">
        <f t="shared" si="15"/>
        <v>98</v>
      </c>
      <c r="G114" s="19">
        <f>IFERROR(VLOOKUP(A117, Efficiency!$A$2:$G$150, 6, 0), 0)</f>
        <v>0</v>
      </c>
    </row>
    <row r="115" spans="1:7" x14ac:dyDescent="0.35">
      <c r="A115" t="str">
        <f>break!A115</f>
        <v>Del_Emp_114 (1008773)</v>
      </c>
      <c r="B115" t="str">
        <f t="shared" si="11"/>
        <v>Emp_114</v>
      </c>
      <c r="C115" s="18">
        <f t="shared" ca="1" si="12"/>
        <v>0.35486111111111113</v>
      </c>
      <c r="D115" s="18">
        <f t="shared" si="13"/>
        <v>0.20693287037037036</v>
      </c>
      <c r="E115" t="str">
        <f t="shared" si="14"/>
        <v>01:08:00</v>
      </c>
      <c r="F115">
        <f t="shared" si="15"/>
        <v>98</v>
      </c>
      <c r="G115" s="19">
        <f>IFERROR(VLOOKUP(A118, Efficiency!$A$2:$G$150, 6, 0), 0)</f>
        <v>0</v>
      </c>
    </row>
    <row r="116" spans="1:7" x14ac:dyDescent="0.35">
      <c r="A116" t="str">
        <f>break!A116</f>
        <v>Del_Emp_115 (1008774)</v>
      </c>
      <c r="B116" t="str">
        <f t="shared" si="11"/>
        <v>Emp_115</v>
      </c>
      <c r="C116" s="18">
        <f t="shared" ca="1" si="12"/>
        <v>0.28125</v>
      </c>
      <c r="D116" s="18">
        <f t="shared" si="13"/>
        <v>0.20693287037037036</v>
      </c>
      <c r="E116" t="str">
        <f t="shared" si="14"/>
        <v>01:08:00</v>
      </c>
      <c r="F116">
        <f t="shared" si="15"/>
        <v>98</v>
      </c>
      <c r="G116" s="19">
        <f>IFERROR(VLOOKUP(A119, Efficiency!$A$2:$G$150, 6, 0), 0)</f>
        <v>0</v>
      </c>
    </row>
    <row r="117" spans="1:7" x14ac:dyDescent="0.35">
      <c r="A117" t="str">
        <f>break!A117</f>
        <v>Del_Emp_116 (1008775)</v>
      </c>
      <c r="B117" t="str">
        <f t="shared" si="11"/>
        <v>Emp_116</v>
      </c>
      <c r="C117" s="18">
        <f t="shared" ca="1" si="12"/>
        <v>0.2590277777777778</v>
      </c>
      <c r="D117" s="18">
        <f t="shared" si="13"/>
        <v>0.20693287037037036</v>
      </c>
      <c r="E117" t="str">
        <f t="shared" si="14"/>
        <v>01:08:00</v>
      </c>
      <c r="F117">
        <f t="shared" si="15"/>
        <v>98</v>
      </c>
      <c r="G117" s="19">
        <f>IFERROR(VLOOKUP(A120, Efficiency!$A$2:$G$150, 6, 0), 0)</f>
        <v>0</v>
      </c>
    </row>
    <row r="118" spans="1:7" x14ac:dyDescent="0.35">
      <c r="A118" t="str">
        <f>break!A118</f>
        <v>Del_Emp_117 (1008776)</v>
      </c>
      <c r="B118" t="str">
        <f t="shared" si="11"/>
        <v>Emp_117</v>
      </c>
      <c r="C118" s="18">
        <f t="shared" ca="1" si="12"/>
        <v>0.3743055555555555</v>
      </c>
      <c r="D118" s="18">
        <f t="shared" si="13"/>
        <v>0.20693287037037036</v>
      </c>
      <c r="E118" t="str">
        <f t="shared" si="14"/>
        <v>01:08:00</v>
      </c>
      <c r="F118">
        <f t="shared" si="15"/>
        <v>98</v>
      </c>
      <c r="G118" s="19">
        <f>IFERROR(VLOOKUP(A121, Efficiency!$A$2:$G$150, 6, 0), 0)</f>
        <v>0</v>
      </c>
    </row>
    <row r="119" spans="1:7" x14ac:dyDescent="0.35">
      <c r="A119" t="str">
        <f>break!A119</f>
        <v>Del_Emp_118 (1008777)</v>
      </c>
      <c r="B119" t="str">
        <f t="shared" si="11"/>
        <v>Emp_118</v>
      </c>
      <c r="C119" s="18">
        <f t="shared" ca="1" si="12"/>
        <v>0.34375</v>
      </c>
      <c r="D119" s="18">
        <f t="shared" si="13"/>
        <v>0.20693287037037036</v>
      </c>
      <c r="E119" t="str">
        <f t="shared" si="14"/>
        <v>01:08:00</v>
      </c>
      <c r="F119">
        <f t="shared" si="15"/>
        <v>98</v>
      </c>
      <c r="G119" s="19">
        <f>IFERROR(VLOOKUP(A122, Efficiency!$A$2:$G$150, 6, 0), 0)</f>
        <v>0</v>
      </c>
    </row>
    <row r="120" spans="1:7" x14ac:dyDescent="0.35">
      <c r="A120" t="str">
        <f>break!A120</f>
        <v>Del_Emp_119 (1008778)</v>
      </c>
      <c r="B120" t="str">
        <f t="shared" si="11"/>
        <v>Emp_119</v>
      </c>
      <c r="C120" s="18">
        <f t="shared" ca="1" si="12"/>
        <v>0.30972222222222223</v>
      </c>
      <c r="D120" s="18">
        <f t="shared" si="13"/>
        <v>0.20693287037037036</v>
      </c>
      <c r="E120" t="str">
        <f t="shared" si="14"/>
        <v>01:08:00</v>
      </c>
      <c r="F120">
        <f t="shared" si="15"/>
        <v>98</v>
      </c>
      <c r="G120" s="19">
        <f>IFERROR(VLOOKUP(A123, Efficiency!$A$2:$G$150, 6, 0), 0)</f>
        <v>0</v>
      </c>
    </row>
    <row r="121" spans="1:7" x14ac:dyDescent="0.35">
      <c r="A121" t="str">
        <f>break!A121</f>
        <v>Del_Emp_120 (1008779)</v>
      </c>
      <c r="B121" t="str">
        <f t="shared" si="11"/>
        <v>Emp_120</v>
      </c>
      <c r="C121" s="18">
        <f t="shared" ca="1" si="12"/>
        <v>0.3520833333333333</v>
      </c>
      <c r="D121" s="18">
        <f t="shared" si="13"/>
        <v>0.20693287037037036</v>
      </c>
      <c r="E121" t="str">
        <f t="shared" si="14"/>
        <v>01:08:00</v>
      </c>
      <c r="F121">
        <f t="shared" si="15"/>
        <v>98</v>
      </c>
      <c r="G121" s="19">
        <f>IFERROR(VLOOKUP(A124, Efficiency!$A$2:$G$150, 6, 0), 0)</f>
        <v>0</v>
      </c>
    </row>
    <row r="122" spans="1:7" x14ac:dyDescent="0.35">
      <c r="A122" t="str">
        <f>break!A122</f>
        <v>Del_Emp_121 (1008780)</v>
      </c>
      <c r="B122" t="str">
        <f t="shared" si="11"/>
        <v>Emp_121</v>
      </c>
      <c r="C122" s="18">
        <f t="shared" ca="1" si="12"/>
        <v>0.2673611111111111</v>
      </c>
      <c r="D122" s="18">
        <f t="shared" si="13"/>
        <v>0.20693287037037036</v>
      </c>
      <c r="E122" t="str">
        <f t="shared" si="14"/>
        <v>01:08:00</v>
      </c>
      <c r="F122">
        <f t="shared" si="15"/>
        <v>98</v>
      </c>
      <c r="G122" s="19">
        <f>IFERROR(VLOOKUP(A125, Efficiency!$A$2:$G$150, 6, 0), 0)</f>
        <v>0</v>
      </c>
    </row>
    <row r="123" spans="1:7" x14ac:dyDescent="0.35">
      <c r="A123" t="str">
        <f>break!A123</f>
        <v>Del_Emp_122 (1008781)</v>
      </c>
      <c r="B123" t="str">
        <f t="shared" si="11"/>
        <v>Emp_122</v>
      </c>
      <c r="C123" s="18">
        <f t="shared" ca="1" si="12"/>
        <v>0.39027777777777778</v>
      </c>
      <c r="D123" s="18">
        <f t="shared" si="13"/>
        <v>0.20693287037037036</v>
      </c>
      <c r="E123" t="str">
        <f t="shared" si="14"/>
        <v>01:08:00</v>
      </c>
      <c r="F123">
        <f t="shared" si="15"/>
        <v>98</v>
      </c>
      <c r="G123" s="19">
        <f>IFERROR(VLOOKUP(A126, Efficiency!$A$2:$G$150, 6, 0), 0)</f>
        <v>0</v>
      </c>
    </row>
    <row r="124" spans="1:7" x14ac:dyDescent="0.35">
      <c r="A124" t="str">
        <f>break!A124</f>
        <v>Del_Emp_123 (1008782)</v>
      </c>
      <c r="B124" t="str">
        <f t="shared" si="11"/>
        <v>Emp_123</v>
      </c>
      <c r="C124" s="18">
        <f t="shared" ca="1" si="12"/>
        <v>0.3659722222222222</v>
      </c>
      <c r="D124" s="18">
        <f t="shared" si="13"/>
        <v>0.20693287037037036</v>
      </c>
      <c r="E124" t="str">
        <f t="shared" si="14"/>
        <v>01:08:00</v>
      </c>
      <c r="F124">
        <f t="shared" si="15"/>
        <v>98</v>
      </c>
      <c r="G124" s="19">
        <f>IFERROR(VLOOKUP(A127, Efficiency!$A$2:$G$150, 6, 0), 0)</f>
        <v>0</v>
      </c>
    </row>
    <row r="125" spans="1:7" x14ac:dyDescent="0.35">
      <c r="A125" t="str">
        <f>break!A125</f>
        <v>Del_Emp_124 (1008783)</v>
      </c>
      <c r="B125" t="str">
        <f t="shared" si="11"/>
        <v>Emp_124</v>
      </c>
      <c r="C125" s="18">
        <f t="shared" ca="1" si="12"/>
        <v>0.3888888888888889</v>
      </c>
      <c r="D125" s="18">
        <f t="shared" si="13"/>
        <v>0.20693287037037036</v>
      </c>
      <c r="E125" t="str">
        <f t="shared" si="14"/>
        <v>01:08:00</v>
      </c>
      <c r="F125">
        <f t="shared" si="15"/>
        <v>98</v>
      </c>
      <c r="G125" s="19">
        <f>IFERROR(VLOOKUP(A128, Efficiency!$A$2:$G$150, 6, 0), 0)</f>
        <v>0</v>
      </c>
    </row>
    <row r="126" spans="1:7" x14ac:dyDescent="0.35">
      <c r="A126" t="str">
        <f>break!A126</f>
        <v>Del_Emp_125 (1008784)</v>
      </c>
      <c r="B126" t="str">
        <f t="shared" si="11"/>
        <v>Emp_125</v>
      </c>
      <c r="C126" s="18">
        <f t="shared" ca="1" si="12"/>
        <v>0.32916666666666666</v>
      </c>
      <c r="D126" s="18">
        <f t="shared" si="13"/>
        <v>0.20693287037037036</v>
      </c>
      <c r="E126" t="str">
        <f t="shared" si="14"/>
        <v>01:08:00</v>
      </c>
      <c r="F126">
        <f t="shared" si="15"/>
        <v>98</v>
      </c>
      <c r="G126" s="19">
        <f>IFERROR(VLOOKUP(A129, Efficiency!$A$2:$G$150, 6, 0), 0)</f>
        <v>0</v>
      </c>
    </row>
    <row r="127" spans="1:7" x14ac:dyDescent="0.35">
      <c r="A127" t="str">
        <f>break!A127</f>
        <v>Del_Emp_126 (1008785)</v>
      </c>
      <c r="B127" t="str">
        <f t="shared" si="11"/>
        <v>Emp_126</v>
      </c>
      <c r="C127" s="18">
        <f t="shared" ca="1" si="12"/>
        <v>0.3520833333333333</v>
      </c>
      <c r="D127" s="18">
        <f t="shared" si="13"/>
        <v>0.20693287037037036</v>
      </c>
      <c r="E127" t="str">
        <f t="shared" si="14"/>
        <v>01:08:00</v>
      </c>
      <c r="F127">
        <f t="shared" si="15"/>
        <v>98</v>
      </c>
      <c r="G127" s="19">
        <f>IFERROR(VLOOKUP(A130, Efficiency!$A$2:$G$150, 6, 0), 0)</f>
        <v>0</v>
      </c>
    </row>
    <row r="128" spans="1:7" x14ac:dyDescent="0.35">
      <c r="A128" t="str">
        <f>break!A128</f>
        <v>Del_Emp_127 (1008786)</v>
      </c>
      <c r="B128" t="str">
        <f t="shared" si="11"/>
        <v>Emp_127</v>
      </c>
      <c r="C128" s="18">
        <f t="shared" ca="1" si="12"/>
        <v>0.4152777777777778</v>
      </c>
      <c r="D128" s="18">
        <f t="shared" si="13"/>
        <v>0.20693287037037036</v>
      </c>
      <c r="E128" t="str">
        <f t="shared" si="14"/>
        <v>01:08:00</v>
      </c>
      <c r="F128">
        <f t="shared" si="15"/>
        <v>98</v>
      </c>
      <c r="G128" s="19">
        <f>IFERROR(VLOOKUP(A131, Efficiency!$A$2:$G$150, 6, 0), 0)</f>
        <v>0</v>
      </c>
    </row>
    <row r="129" spans="1:7" x14ac:dyDescent="0.35">
      <c r="A129" t="str">
        <f>break!A129</f>
        <v>Del_Emp_128 (1008787)</v>
      </c>
      <c r="B129" t="str">
        <f t="shared" si="11"/>
        <v>Emp_128</v>
      </c>
      <c r="C129" s="18">
        <f t="shared" ca="1" si="12"/>
        <v>0.37013888888888885</v>
      </c>
      <c r="D129" s="18">
        <f t="shared" si="13"/>
        <v>0.20693287037037036</v>
      </c>
      <c r="E129" t="str">
        <f t="shared" si="14"/>
        <v>01:08:00</v>
      </c>
      <c r="F129">
        <f t="shared" si="15"/>
        <v>98</v>
      </c>
      <c r="G129" s="19">
        <f>IFERROR(VLOOKUP(A132, Efficiency!$A$2:$G$150, 6, 0), 0)</f>
        <v>0</v>
      </c>
    </row>
    <row r="130" spans="1:7" x14ac:dyDescent="0.35">
      <c r="A130" t="str">
        <f>break!A130</f>
        <v>Del_Emp_129 (1008788)</v>
      </c>
      <c r="B130" t="str">
        <f t="shared" si="11"/>
        <v>Emp_129</v>
      </c>
      <c r="C130" s="18">
        <f t="shared" ca="1" si="12"/>
        <v>0.31944444444444448</v>
      </c>
      <c r="D130" s="18">
        <f t="shared" ref="D130:D151" si="16">VLOOKUP($A$2,EData,3,0)</f>
        <v>0.20693287037037036</v>
      </c>
      <c r="E130" t="str">
        <f t="shared" ref="E130:E151" si="17">VLOOKUP(TRIM(A130), BData, 9, 0)</f>
        <v>01:08:00</v>
      </c>
      <c r="F130">
        <f t="shared" ref="F130:F151" si="18">VLOOKUP($A$2,Pdata,2,0)</f>
        <v>98</v>
      </c>
      <c r="G130" s="19">
        <f>IFERROR(VLOOKUP(A133, Efficiency!$A$2:$G$150, 6, 0), 0)</f>
        <v>0</v>
      </c>
    </row>
    <row r="131" spans="1:7" x14ac:dyDescent="0.35">
      <c r="A131" t="str">
        <f>break!A131</f>
        <v>Del_Emp_130 (1008789)</v>
      </c>
      <c r="B131" t="str">
        <f t="shared" ref="B131:B151" si="19">MID(A131,FIND("_", A131,1)+1,FIND("(", A131)-FIND("_", A131)-2)</f>
        <v>Emp_130</v>
      </c>
      <c r="C131" s="18">
        <f t="shared" ref="C131:C151" ca="1" si="20">TIME(RANDBETWEEN(6,9), RANDBETWEEN(0,59), 0)</f>
        <v>0.28888888888888892</v>
      </c>
      <c r="D131" s="18">
        <f t="shared" si="16"/>
        <v>0.20693287037037036</v>
      </c>
      <c r="E131" t="str">
        <f t="shared" si="17"/>
        <v>01:08:00</v>
      </c>
      <c r="F131">
        <f t="shared" si="18"/>
        <v>98</v>
      </c>
      <c r="G131" s="19">
        <f>IFERROR(VLOOKUP(A134, Efficiency!$A$2:$G$150, 6, 0), 0)</f>
        <v>0</v>
      </c>
    </row>
    <row r="132" spans="1:7" x14ac:dyDescent="0.35">
      <c r="A132" t="str">
        <f>break!A132</f>
        <v>Del_Emp_131 (1008790)</v>
      </c>
      <c r="B132" t="str">
        <f t="shared" si="19"/>
        <v>Emp_131</v>
      </c>
      <c r="C132" s="18">
        <f t="shared" ca="1" si="20"/>
        <v>0.38611111111111113</v>
      </c>
      <c r="D132" s="18">
        <f t="shared" si="16"/>
        <v>0.20693287037037036</v>
      </c>
      <c r="E132" t="str">
        <f t="shared" si="17"/>
        <v>01:08:00</v>
      </c>
      <c r="F132">
        <f t="shared" si="18"/>
        <v>98</v>
      </c>
      <c r="G132" s="19">
        <f>IFERROR(VLOOKUP(A135, Efficiency!$A$2:$G$150, 6, 0), 0)</f>
        <v>0</v>
      </c>
    </row>
    <row r="133" spans="1:7" x14ac:dyDescent="0.35">
      <c r="A133" t="str">
        <f>break!A133</f>
        <v>Del_Emp_132 (1008791)</v>
      </c>
      <c r="B133" t="str">
        <f t="shared" si="19"/>
        <v>Emp_132</v>
      </c>
      <c r="C133" s="18">
        <f t="shared" ca="1" si="20"/>
        <v>0.31944444444444448</v>
      </c>
      <c r="D133" s="18">
        <f t="shared" si="16"/>
        <v>0.20693287037037036</v>
      </c>
      <c r="E133" t="str">
        <f t="shared" si="17"/>
        <v>01:08:00</v>
      </c>
      <c r="F133">
        <f t="shared" si="18"/>
        <v>98</v>
      </c>
      <c r="G133" s="19">
        <f>IFERROR(VLOOKUP(A136, Efficiency!$A$2:$G$150, 6, 0), 0)</f>
        <v>0</v>
      </c>
    </row>
    <row r="134" spans="1:7" x14ac:dyDescent="0.35">
      <c r="A134" t="str">
        <f>break!A134</f>
        <v>Del_Emp_133 (1008792)</v>
      </c>
      <c r="B134" t="str">
        <f t="shared" si="19"/>
        <v>Emp_133</v>
      </c>
      <c r="C134" s="18">
        <f t="shared" ca="1" si="20"/>
        <v>0.28333333333333333</v>
      </c>
      <c r="D134" s="18">
        <f t="shared" si="16"/>
        <v>0.20693287037037036</v>
      </c>
      <c r="E134" t="str">
        <f t="shared" si="17"/>
        <v>01:08:00</v>
      </c>
      <c r="F134">
        <f t="shared" si="18"/>
        <v>98</v>
      </c>
      <c r="G134" s="19">
        <f>IFERROR(VLOOKUP(A137, Efficiency!$A$2:$G$150, 6, 0), 0)</f>
        <v>0</v>
      </c>
    </row>
    <row r="135" spans="1:7" x14ac:dyDescent="0.35">
      <c r="A135" t="str">
        <f>break!A135</f>
        <v>Del_Emp_134 (1008793)</v>
      </c>
      <c r="B135" t="str">
        <f t="shared" si="19"/>
        <v>Emp_134</v>
      </c>
      <c r="C135" s="18">
        <f t="shared" ca="1" si="20"/>
        <v>0.40833333333333338</v>
      </c>
      <c r="D135" s="18">
        <f t="shared" si="16"/>
        <v>0.20693287037037036</v>
      </c>
      <c r="E135" t="str">
        <f t="shared" si="17"/>
        <v>01:08:00</v>
      </c>
      <c r="F135">
        <f t="shared" si="18"/>
        <v>98</v>
      </c>
      <c r="G135" s="19">
        <f>IFERROR(VLOOKUP(A138, Efficiency!$A$2:$G$150, 6, 0), 0)</f>
        <v>0</v>
      </c>
    </row>
    <row r="136" spans="1:7" x14ac:dyDescent="0.35">
      <c r="A136" t="str">
        <f>break!A136</f>
        <v>Del_Emp_135 (1008794)</v>
      </c>
      <c r="B136" t="str">
        <f t="shared" si="19"/>
        <v>Emp_135</v>
      </c>
      <c r="C136" s="18">
        <f t="shared" ca="1" si="20"/>
        <v>0.3611111111111111</v>
      </c>
      <c r="D136" s="18">
        <f t="shared" si="16"/>
        <v>0.20693287037037036</v>
      </c>
      <c r="E136" t="str">
        <f t="shared" si="17"/>
        <v>01:08:00</v>
      </c>
      <c r="F136">
        <f t="shared" si="18"/>
        <v>98</v>
      </c>
      <c r="G136" s="19">
        <f>IFERROR(VLOOKUP(A139, Efficiency!$A$2:$G$150, 6, 0), 0)</f>
        <v>0</v>
      </c>
    </row>
    <row r="137" spans="1:7" x14ac:dyDescent="0.35">
      <c r="A137" t="str">
        <f>break!A137</f>
        <v>Del_Emp_136 (1008795)</v>
      </c>
      <c r="B137" t="str">
        <f t="shared" si="19"/>
        <v>Emp_136</v>
      </c>
      <c r="C137" s="18">
        <f t="shared" ca="1" si="20"/>
        <v>0.33402777777777781</v>
      </c>
      <c r="D137" s="18">
        <f t="shared" si="16"/>
        <v>0.20693287037037036</v>
      </c>
      <c r="E137" t="str">
        <f t="shared" si="17"/>
        <v>01:08:00</v>
      </c>
      <c r="F137">
        <f t="shared" si="18"/>
        <v>98</v>
      </c>
      <c r="G137" s="19">
        <f>IFERROR(VLOOKUP(A140, Efficiency!$A$2:$G$150, 6, 0), 0)</f>
        <v>0</v>
      </c>
    </row>
    <row r="138" spans="1:7" x14ac:dyDescent="0.35">
      <c r="A138" t="str">
        <f>break!A138</f>
        <v>Del_Emp_137 (1008796)</v>
      </c>
      <c r="B138" t="str">
        <f t="shared" si="19"/>
        <v>Emp_137</v>
      </c>
      <c r="C138" s="18">
        <f t="shared" ca="1" si="20"/>
        <v>0.27569444444444446</v>
      </c>
      <c r="D138" s="18">
        <f t="shared" si="16"/>
        <v>0.20693287037037036</v>
      </c>
      <c r="E138" t="str">
        <f t="shared" si="17"/>
        <v>01:08:00</v>
      </c>
      <c r="F138">
        <f t="shared" si="18"/>
        <v>98</v>
      </c>
      <c r="G138" s="19">
        <f>IFERROR(VLOOKUP(A141, Efficiency!$A$2:$G$150, 6, 0), 0)</f>
        <v>0</v>
      </c>
    </row>
    <row r="139" spans="1:7" x14ac:dyDescent="0.35">
      <c r="A139" t="str">
        <f>break!A139</f>
        <v>Del_Emp_138 (1008797)</v>
      </c>
      <c r="B139" t="str">
        <f t="shared" si="19"/>
        <v>Emp_138</v>
      </c>
      <c r="C139" s="18">
        <f t="shared" ca="1" si="20"/>
        <v>0.27083333333333331</v>
      </c>
      <c r="D139" s="18">
        <f t="shared" si="16"/>
        <v>0.20693287037037036</v>
      </c>
      <c r="E139" t="str">
        <f t="shared" si="17"/>
        <v>01:08:00</v>
      </c>
      <c r="F139">
        <f t="shared" si="18"/>
        <v>98</v>
      </c>
      <c r="G139" s="19">
        <f>IFERROR(VLOOKUP(A142, Efficiency!$A$2:$G$150, 6, 0), 0)</f>
        <v>0</v>
      </c>
    </row>
    <row r="140" spans="1:7" x14ac:dyDescent="0.35">
      <c r="A140" t="str">
        <f>break!A140</f>
        <v>Del_Emp_139 (1008798)</v>
      </c>
      <c r="B140" t="str">
        <f t="shared" si="19"/>
        <v>Emp_139</v>
      </c>
      <c r="C140" s="18">
        <f t="shared" ca="1" si="20"/>
        <v>0.38125000000000003</v>
      </c>
      <c r="D140" s="18">
        <f t="shared" si="16"/>
        <v>0.20693287037037036</v>
      </c>
      <c r="E140" t="str">
        <f t="shared" si="17"/>
        <v>01:08:00</v>
      </c>
      <c r="F140">
        <f t="shared" si="18"/>
        <v>98</v>
      </c>
      <c r="G140" s="19">
        <f>IFERROR(VLOOKUP(A143, Efficiency!$A$2:$G$150, 6, 0), 0)</f>
        <v>0</v>
      </c>
    </row>
    <row r="141" spans="1:7" x14ac:dyDescent="0.35">
      <c r="A141" t="str">
        <f>break!A141</f>
        <v>Del_Emp_140 (1008799)</v>
      </c>
      <c r="B141" t="str">
        <f t="shared" si="19"/>
        <v>Emp_140</v>
      </c>
      <c r="C141" s="18">
        <f t="shared" ca="1" si="20"/>
        <v>0.3576388888888889</v>
      </c>
      <c r="D141" s="18">
        <f t="shared" si="16"/>
        <v>0.20693287037037036</v>
      </c>
      <c r="E141" t="str">
        <f t="shared" si="17"/>
        <v>01:08:00</v>
      </c>
      <c r="F141">
        <f t="shared" si="18"/>
        <v>98</v>
      </c>
      <c r="G141" s="19">
        <f>IFERROR(VLOOKUP(A144, Efficiency!$A$2:$G$150, 6, 0), 0)</f>
        <v>0</v>
      </c>
    </row>
    <row r="142" spans="1:7" x14ac:dyDescent="0.35">
      <c r="A142" t="str">
        <f>break!A142</f>
        <v>Del_Emp_141 (1008800)</v>
      </c>
      <c r="B142" t="str">
        <f t="shared" si="19"/>
        <v>Emp_141</v>
      </c>
      <c r="C142" s="18">
        <f t="shared" ca="1" si="20"/>
        <v>0.34861111111111115</v>
      </c>
      <c r="D142" s="18">
        <f t="shared" si="16"/>
        <v>0.20693287037037036</v>
      </c>
      <c r="E142" t="str">
        <f t="shared" si="17"/>
        <v>01:08:00</v>
      </c>
      <c r="F142">
        <f t="shared" si="18"/>
        <v>98</v>
      </c>
      <c r="G142" s="19">
        <f>IFERROR(VLOOKUP(A145, Efficiency!$A$2:$G$150, 6, 0), 0)</f>
        <v>0</v>
      </c>
    </row>
    <row r="143" spans="1:7" x14ac:dyDescent="0.35">
      <c r="A143" t="str">
        <f>break!A143</f>
        <v>Del_Emp_142 (1008801)</v>
      </c>
      <c r="B143" t="str">
        <f t="shared" si="19"/>
        <v>Emp_142</v>
      </c>
      <c r="C143" s="18">
        <f t="shared" ca="1" si="20"/>
        <v>0.3840277777777778</v>
      </c>
      <c r="D143" s="18">
        <f t="shared" si="16"/>
        <v>0.20693287037037036</v>
      </c>
      <c r="E143" t="str">
        <f t="shared" si="17"/>
        <v>01:08:00</v>
      </c>
      <c r="F143">
        <f t="shared" si="18"/>
        <v>98</v>
      </c>
      <c r="G143" s="19">
        <f>IFERROR(VLOOKUP(A146, Efficiency!$A$2:$G$150, 6, 0), 0)</f>
        <v>0</v>
      </c>
    </row>
    <row r="144" spans="1:7" x14ac:dyDescent="0.35">
      <c r="A144" t="str">
        <f>break!A144</f>
        <v>Del_Emp_143 (1008802)</v>
      </c>
      <c r="B144" t="str">
        <f t="shared" si="19"/>
        <v>Emp_143</v>
      </c>
      <c r="C144" s="18">
        <f t="shared" ca="1" si="20"/>
        <v>0.25277777777777777</v>
      </c>
      <c r="D144" s="18">
        <f t="shared" si="16"/>
        <v>0.20693287037037036</v>
      </c>
      <c r="E144" t="str">
        <f t="shared" si="17"/>
        <v>01:08:00</v>
      </c>
      <c r="F144">
        <f t="shared" si="18"/>
        <v>98</v>
      </c>
      <c r="G144" s="19">
        <f>IFERROR(VLOOKUP(A147, Efficiency!$A$2:$G$150, 6, 0), 0)</f>
        <v>0</v>
      </c>
    </row>
    <row r="145" spans="1:7" x14ac:dyDescent="0.35">
      <c r="A145" t="str">
        <f>break!A145</f>
        <v>Del_Emp_144 (1008803)</v>
      </c>
      <c r="B145" t="str">
        <f t="shared" si="19"/>
        <v>Emp_144</v>
      </c>
      <c r="C145" s="18">
        <f t="shared" ca="1" si="20"/>
        <v>0.3888888888888889</v>
      </c>
      <c r="D145" s="18">
        <f t="shared" si="16"/>
        <v>0.20693287037037036</v>
      </c>
      <c r="E145" t="str">
        <f t="shared" si="17"/>
        <v>01:08:00</v>
      </c>
      <c r="F145">
        <f t="shared" si="18"/>
        <v>98</v>
      </c>
      <c r="G145" s="19">
        <f>IFERROR(VLOOKUP(A148, Efficiency!$A$2:$G$150, 6, 0), 0)</f>
        <v>0</v>
      </c>
    </row>
    <row r="146" spans="1:7" x14ac:dyDescent="0.35">
      <c r="A146" t="str">
        <f>break!A146</f>
        <v>Del_Emp_145 (1008804)</v>
      </c>
      <c r="B146" t="str">
        <f t="shared" si="19"/>
        <v>Emp_145</v>
      </c>
      <c r="C146" s="18">
        <f t="shared" ca="1" si="20"/>
        <v>0.3527777777777778</v>
      </c>
      <c r="D146" s="18">
        <f t="shared" si="16"/>
        <v>0.20693287037037036</v>
      </c>
      <c r="E146" t="str">
        <f t="shared" si="17"/>
        <v>01:08:00</v>
      </c>
      <c r="F146">
        <f t="shared" si="18"/>
        <v>98</v>
      </c>
      <c r="G146" s="19">
        <f>IFERROR(VLOOKUP(A149, Efficiency!$A$2:$G$150, 6, 0), 0)</f>
        <v>0</v>
      </c>
    </row>
    <row r="147" spans="1:7" x14ac:dyDescent="0.35">
      <c r="A147" t="str">
        <f>break!A147</f>
        <v>Del_Emp_146 (1008805)</v>
      </c>
      <c r="B147" t="str">
        <f t="shared" si="19"/>
        <v>Emp_146</v>
      </c>
      <c r="C147" s="18">
        <f t="shared" ca="1" si="20"/>
        <v>0.31805555555555554</v>
      </c>
      <c r="D147" s="18">
        <f t="shared" si="16"/>
        <v>0.20693287037037036</v>
      </c>
      <c r="E147" t="str">
        <f t="shared" si="17"/>
        <v>01:08:00</v>
      </c>
      <c r="F147">
        <f t="shared" si="18"/>
        <v>98</v>
      </c>
      <c r="G147" s="19">
        <f>IFERROR(VLOOKUP(A150, Efficiency!$A$2:$G$150, 6, 0), 0)</f>
        <v>0</v>
      </c>
    </row>
    <row r="148" spans="1:7" x14ac:dyDescent="0.35">
      <c r="A148" t="str">
        <f>break!A148</f>
        <v>Del_Emp_147 (1008806)</v>
      </c>
      <c r="B148" t="str">
        <f t="shared" si="19"/>
        <v>Emp_147</v>
      </c>
      <c r="C148" s="18">
        <f t="shared" ca="1" si="20"/>
        <v>0.28125</v>
      </c>
      <c r="D148" s="18">
        <f t="shared" si="16"/>
        <v>0.20693287037037036</v>
      </c>
      <c r="E148" t="str">
        <f t="shared" si="17"/>
        <v>01:08:00</v>
      </c>
      <c r="F148">
        <f t="shared" si="18"/>
        <v>98</v>
      </c>
      <c r="G148" s="19">
        <f>IFERROR(VLOOKUP(A151, Efficiency!$A$2:$G$150, 6, 0), 0)</f>
        <v>0</v>
      </c>
    </row>
    <row r="149" spans="1:7" x14ac:dyDescent="0.35">
      <c r="A149" t="str">
        <f>break!A149</f>
        <v>Del_Emp_148 (1008807)</v>
      </c>
      <c r="B149" t="str">
        <f t="shared" si="19"/>
        <v>Emp_148</v>
      </c>
      <c r="C149" s="18">
        <f t="shared" ca="1" si="20"/>
        <v>0.32777777777777778</v>
      </c>
      <c r="D149" s="18">
        <f t="shared" si="16"/>
        <v>0.20693287037037036</v>
      </c>
      <c r="E149" t="str">
        <f t="shared" si="17"/>
        <v>01:08:00</v>
      </c>
      <c r="F149">
        <f t="shared" si="18"/>
        <v>98</v>
      </c>
      <c r="G149" s="19">
        <f>IFERROR(VLOOKUP(A152, Efficiency!$A$2:$G$150, 6, 0), 0)</f>
        <v>0</v>
      </c>
    </row>
    <row r="150" spans="1:7" x14ac:dyDescent="0.35">
      <c r="A150" t="str">
        <f>break!A150</f>
        <v>Del_Emp_149 (1008808)</v>
      </c>
      <c r="B150" t="str">
        <f t="shared" si="19"/>
        <v>Emp_149</v>
      </c>
      <c r="C150" s="18">
        <f t="shared" ca="1" si="20"/>
        <v>0.31805555555555554</v>
      </c>
      <c r="D150" s="18">
        <f t="shared" si="16"/>
        <v>0.20693287037037036</v>
      </c>
      <c r="E150" t="str">
        <f t="shared" si="17"/>
        <v>01:08:00</v>
      </c>
      <c r="F150">
        <f t="shared" si="18"/>
        <v>98</v>
      </c>
      <c r="G150" s="19">
        <f>IFERROR(VLOOKUP(A153, Efficiency!$A$2:$G$150, 6, 0), 0)</f>
        <v>0</v>
      </c>
    </row>
    <row r="151" spans="1:7" x14ac:dyDescent="0.35">
      <c r="A151" t="str">
        <f>break!A151</f>
        <v>Del_Emp_150 (1008809)</v>
      </c>
      <c r="B151" t="str">
        <f t="shared" si="19"/>
        <v>Emp_150</v>
      </c>
      <c r="C151" s="18">
        <f t="shared" ca="1" si="20"/>
        <v>0.28055555555555556</v>
      </c>
      <c r="D151" s="18">
        <f t="shared" si="16"/>
        <v>0.20693287037037036</v>
      </c>
      <c r="E151" t="str">
        <f t="shared" si="17"/>
        <v>01:08:00</v>
      </c>
      <c r="F151">
        <f t="shared" si="18"/>
        <v>98</v>
      </c>
      <c r="G151" s="19">
        <f>IFERROR(VLOOKUP(A154, Efficiency!$A$2:$G$150, 6, 0), 0)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7EB8-8231-4356-8465-9F7DCE617EA5}">
  <sheetPr codeName="Sheet5"/>
  <dimension ref="A1:H24"/>
  <sheetViews>
    <sheetView tabSelected="1" zoomScale="80" zoomScaleNormal="80" workbookViewId="0">
      <selection activeCell="I6" sqref="I6"/>
    </sheetView>
  </sheetViews>
  <sheetFormatPr defaultRowHeight="14.5" x14ac:dyDescent="0.35"/>
  <cols>
    <col min="1" max="1" width="13.08984375" bestFit="1" customWidth="1"/>
    <col min="2" max="2" width="38.08984375" customWidth="1"/>
    <col min="3" max="3" width="14.1796875" customWidth="1"/>
    <col min="4" max="4" width="13.7265625" bestFit="1" customWidth="1"/>
    <col min="5" max="5" width="34.54296875" customWidth="1"/>
    <col min="6" max="6" width="12.36328125" customWidth="1"/>
    <col min="7" max="7" width="13.7265625" bestFit="1" customWidth="1"/>
    <col min="8" max="8" width="37.08984375" customWidth="1"/>
  </cols>
  <sheetData>
    <row r="1" spans="1:8" ht="21.5" customHeight="1" x14ac:dyDescent="0.35">
      <c r="A1" s="36"/>
      <c r="B1" s="36"/>
      <c r="C1" s="26">
        <v>5</v>
      </c>
      <c r="D1" s="36"/>
      <c r="E1" s="36"/>
      <c r="F1" s="37" t="s">
        <v>342</v>
      </c>
      <c r="G1" s="36"/>
      <c r="H1" s="36"/>
    </row>
    <row r="2" spans="1:8" ht="15.5" customHeight="1" x14ac:dyDescent="0.35">
      <c r="A2" s="36"/>
      <c r="B2" s="36"/>
      <c r="D2" s="36"/>
      <c r="E2" s="36"/>
      <c r="F2" s="37"/>
      <c r="G2" s="36"/>
      <c r="H2" s="36"/>
    </row>
    <row r="3" spans="1:8" ht="19" customHeight="1" x14ac:dyDescent="0.35">
      <c r="A3" s="38" t="s">
        <v>330</v>
      </c>
      <c r="B3" s="39"/>
      <c r="C3" s="26"/>
      <c r="D3" s="35" t="s">
        <v>336</v>
      </c>
      <c r="E3" s="39"/>
      <c r="F3" s="37"/>
      <c r="G3" s="35" t="s">
        <v>341</v>
      </c>
      <c r="H3" s="35"/>
    </row>
    <row r="4" spans="1:8" ht="18.5" customHeight="1" x14ac:dyDescent="0.35">
      <c r="A4" s="20" t="s">
        <v>325</v>
      </c>
      <c r="B4" t="s">
        <v>329</v>
      </c>
      <c r="C4" s="40"/>
      <c r="D4" s="20" t="s">
        <v>325</v>
      </c>
      <c r="E4" t="s">
        <v>335</v>
      </c>
      <c r="F4" s="37"/>
      <c r="G4" s="20" t="s">
        <v>325</v>
      </c>
      <c r="H4" t="s">
        <v>340</v>
      </c>
    </row>
    <row r="5" spans="1:8" x14ac:dyDescent="0.35">
      <c r="A5" s="21" t="s">
        <v>326</v>
      </c>
      <c r="B5" s="18">
        <v>1.3548611111111111</v>
      </c>
      <c r="C5" s="40"/>
      <c r="D5" s="21" t="s">
        <v>331</v>
      </c>
      <c r="E5" s="27">
        <v>0.65500000000000003</v>
      </c>
      <c r="F5" s="37"/>
      <c r="G5" s="21" t="s">
        <v>331</v>
      </c>
      <c r="H5" s="27">
        <v>0.65500000000000003</v>
      </c>
    </row>
    <row r="6" spans="1:8" x14ac:dyDescent="0.35">
      <c r="A6" s="21" t="s">
        <v>271</v>
      </c>
      <c r="B6" s="18">
        <v>0.4152777777777778</v>
      </c>
      <c r="C6" s="40"/>
      <c r="D6" s="21" t="s">
        <v>337</v>
      </c>
      <c r="E6" s="27">
        <v>0.55210000000000004</v>
      </c>
      <c r="F6" s="37"/>
      <c r="G6" s="21" t="s">
        <v>332</v>
      </c>
      <c r="H6" s="27">
        <v>0.56869999999999998</v>
      </c>
    </row>
    <row r="7" spans="1:8" x14ac:dyDescent="0.35">
      <c r="A7" s="21" t="s">
        <v>327</v>
      </c>
      <c r="B7" s="18">
        <v>0.54861111111111116</v>
      </c>
      <c r="C7" s="40"/>
      <c r="D7" s="21" t="s">
        <v>332</v>
      </c>
      <c r="E7" s="27">
        <v>0.56869999999999998</v>
      </c>
      <c r="F7" s="37"/>
      <c r="G7" s="21" t="s">
        <v>338</v>
      </c>
      <c r="H7" s="27">
        <v>0.56040000000000001</v>
      </c>
    </row>
    <row r="8" spans="1:8" x14ac:dyDescent="0.35">
      <c r="A8" s="21" t="s">
        <v>328</v>
      </c>
      <c r="B8" s="18">
        <v>0.64861111111111114</v>
      </c>
      <c r="C8" s="40"/>
      <c r="D8" s="21" t="s">
        <v>338</v>
      </c>
      <c r="E8" s="27">
        <v>0.56040000000000001</v>
      </c>
      <c r="F8" s="37"/>
      <c r="G8" s="21" t="s">
        <v>333</v>
      </c>
      <c r="H8" s="27">
        <v>0.5736</v>
      </c>
    </row>
    <row r="9" spans="1:8" x14ac:dyDescent="0.35">
      <c r="A9" s="21" t="s">
        <v>339</v>
      </c>
      <c r="B9" s="18">
        <v>0.4152777777777778</v>
      </c>
      <c r="C9" s="40"/>
      <c r="D9" s="21" t="s">
        <v>333</v>
      </c>
      <c r="E9" s="27">
        <v>0.5736</v>
      </c>
      <c r="F9" s="37"/>
      <c r="G9" s="21" t="s">
        <v>334</v>
      </c>
      <c r="H9" s="27">
        <v>0.56430000000000002</v>
      </c>
    </row>
    <row r="10" spans="1:8" x14ac:dyDescent="0.35">
      <c r="C10" s="40"/>
      <c r="D10" s="21" t="s">
        <v>334</v>
      </c>
      <c r="E10" s="27">
        <v>0.56430000000000002</v>
      </c>
      <c r="F10" s="37"/>
    </row>
    <row r="11" spans="1:8" x14ac:dyDescent="0.35">
      <c r="C11" s="40"/>
      <c r="F11" s="37"/>
    </row>
    <row r="12" spans="1:8" x14ac:dyDescent="0.35">
      <c r="C12" s="40"/>
      <c r="F12" s="37"/>
    </row>
    <row r="13" spans="1:8" x14ac:dyDescent="0.35">
      <c r="C13" s="40"/>
      <c r="F13" s="37"/>
    </row>
    <row r="14" spans="1:8" x14ac:dyDescent="0.35">
      <c r="C14" s="40"/>
      <c r="F14" s="37"/>
    </row>
    <row r="15" spans="1:8" x14ac:dyDescent="0.35">
      <c r="C15" s="40"/>
      <c r="F15" s="37"/>
    </row>
    <row r="16" spans="1:8" x14ac:dyDescent="0.35">
      <c r="C16" s="40"/>
      <c r="F16" s="37"/>
    </row>
    <row r="17" spans="3:6" x14ac:dyDescent="0.35">
      <c r="C17" s="40"/>
      <c r="F17" s="37"/>
    </row>
    <row r="18" spans="3:6" x14ac:dyDescent="0.35">
      <c r="C18" s="40"/>
      <c r="F18" s="37"/>
    </row>
    <row r="19" spans="3:6" x14ac:dyDescent="0.35">
      <c r="C19" s="40"/>
      <c r="F19" s="37"/>
    </row>
    <row r="20" spans="3:6" x14ac:dyDescent="0.35">
      <c r="C20" s="40"/>
      <c r="F20" s="37"/>
    </row>
    <row r="21" spans="3:6" x14ac:dyDescent="0.35">
      <c r="C21" s="32"/>
      <c r="F21" s="37"/>
    </row>
    <row r="22" spans="3:6" x14ac:dyDescent="0.35">
      <c r="F22" s="37"/>
    </row>
    <row r="23" spans="3:6" x14ac:dyDescent="0.35">
      <c r="F23" s="33"/>
    </row>
    <row r="24" spans="3:6" x14ac:dyDescent="0.35">
      <c r="F24" s="34"/>
    </row>
  </sheetData>
  <mergeCells count="8">
    <mergeCell ref="G3:H3"/>
    <mergeCell ref="G1:H2"/>
    <mergeCell ref="F1:F22"/>
    <mergeCell ref="A1:B2"/>
    <mergeCell ref="A3:B3"/>
    <mergeCell ref="D1:E2"/>
    <mergeCell ref="D3:E3"/>
    <mergeCell ref="C4:C20"/>
  </mergeCell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7" name="Spinner 1">
              <controlPr defaultSize="0" autoPict="0" macro="[0]!Spinner1Code">
                <anchor moveWithCells="1" sizeWithCells="1">
                  <from>
                    <xdr:col>1</xdr:col>
                    <xdr:colOff>825500</xdr:colOff>
                    <xdr:row>0</xdr:row>
                    <xdr:rowOff>25400</xdr:rowOff>
                  </from>
                  <to>
                    <xdr:col>1</xdr:col>
                    <xdr:colOff>1041400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Spinner 3">
              <controlPr defaultSize="0" autoPict="0" macro="[0]!Spinner3_Code">
                <anchor moveWithCells="1" sizeWithCells="1">
                  <from>
                    <xdr:col>4</xdr:col>
                    <xdr:colOff>717550</xdr:colOff>
                    <xdr:row>0</xdr:row>
                    <xdr:rowOff>0</xdr:rowOff>
                  </from>
                  <to>
                    <xdr:col>4</xdr:col>
                    <xdr:colOff>933450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CD6735-80E4-4C8A-AB06-64B2182212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Dashbroad</vt:lpstr>
      <vt:lpstr>BData</vt:lpstr>
      <vt:lpstr>EData</vt:lpstr>
      <vt:lpstr>Pdata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mahak gupta</dc:creator>
  <cp:lastModifiedBy>mahak gupta</cp:lastModifiedBy>
  <dcterms:created xsi:type="dcterms:W3CDTF">2026-06-30T12:03:23Z</dcterms:created>
  <dcterms:modified xsi:type="dcterms:W3CDTF">2026-07-17T07:12:22Z</dcterms:modified>
</cp:coreProperties>
</file>